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cachosantos/Downloads/"/>
    </mc:Choice>
  </mc:AlternateContent>
  <xr:revisionPtr revIDLastSave="0" documentId="13_ncr:1_{6AD37D69-937A-1D46-A378-49E35C2197B2}" xr6:coauthVersionLast="47" xr6:coauthVersionMax="47" xr10:uidLastSave="{00000000-0000-0000-0000-000000000000}"/>
  <bookViews>
    <workbookView xWindow="0" yWindow="680" windowWidth="34200" windowHeight="19660" xr2:uid="{00000000-000D-0000-FFFF-FFFF00000000}"/>
  </bookViews>
  <sheets>
    <sheet name="Promedio 2025" sheetId="25" r:id="rId1"/>
  </sheets>
  <calcPr calcId="18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1" i="25" l="1"/>
  <c r="AB102" i="25"/>
  <c r="AB93" i="25"/>
  <c r="AB86" i="25"/>
  <c r="AB104" i="25" s="1"/>
  <c r="AB16" i="25"/>
  <c r="AB114" i="25" s="1"/>
  <c r="Y108" i="25"/>
  <c r="X116" i="25"/>
  <c r="X108" i="25"/>
  <c r="X106" i="25"/>
  <c r="X104" i="25"/>
  <c r="X102" i="25"/>
  <c r="X101" i="25"/>
  <c r="X100" i="25"/>
  <c r="X99" i="25"/>
  <c r="X98" i="25"/>
  <c r="X97" i="25"/>
  <c r="X96" i="25"/>
  <c r="X93" i="25"/>
  <c r="X92" i="25"/>
  <c r="X91" i="25"/>
  <c r="X90" i="25"/>
  <c r="X89" i="25"/>
  <c r="X86" i="25"/>
  <c r="X85" i="25"/>
  <c r="X84" i="25"/>
  <c r="X83" i="25"/>
  <c r="X82" i="25"/>
  <c r="X81" i="25"/>
  <c r="X80" i="25"/>
  <c r="X79" i="25"/>
  <c r="X78" i="25"/>
  <c r="X77" i="25"/>
  <c r="X76" i="25"/>
  <c r="X75" i="25"/>
  <c r="X74" i="25"/>
  <c r="X73" i="25"/>
  <c r="X72" i="25"/>
  <c r="X68" i="25"/>
  <c r="X67" i="25"/>
  <c r="X66" i="25"/>
  <c r="X65" i="25"/>
  <c r="X64" i="25"/>
  <c r="X63" i="25"/>
  <c r="X62" i="25"/>
  <c r="X61" i="25"/>
  <c r="X60" i="25"/>
  <c r="X59" i="25"/>
  <c r="X58" i="25"/>
  <c r="X57" i="25"/>
  <c r="X56" i="25"/>
  <c r="X55" i="25"/>
  <c r="X54" i="25"/>
  <c r="X53" i="25"/>
  <c r="X48" i="25"/>
  <c r="X46" i="25"/>
  <c r="X44" i="25"/>
  <c r="X43" i="25"/>
  <c r="X42" i="25"/>
  <c r="X41" i="25"/>
  <c r="X40" i="25"/>
  <c r="X37" i="25"/>
  <c r="X36" i="25"/>
  <c r="X35" i="25"/>
  <c r="X34" i="25"/>
  <c r="X33" i="25"/>
  <c r="X29" i="25"/>
  <c r="X28" i="25"/>
  <c r="X27" i="25"/>
  <c r="X26" i="25"/>
  <c r="X24" i="25"/>
  <c r="X23" i="25"/>
  <c r="X22" i="25"/>
  <c r="X21" i="25"/>
  <c r="X20" i="25"/>
  <c r="X19" i="25"/>
  <c r="H16" i="25"/>
  <c r="I116" i="25" s="1"/>
  <c r="L16" i="25"/>
  <c r="M116" i="25" s="1"/>
  <c r="P16" i="25"/>
  <c r="Q116" i="25" s="1"/>
  <c r="T16" i="25"/>
  <c r="U116" i="25" s="1"/>
  <c r="X11" i="25"/>
  <c r="X10" i="25"/>
  <c r="X9" i="25"/>
  <c r="X8" i="25"/>
  <c r="X7" i="25"/>
  <c r="X4" i="25"/>
  <c r="X6" i="25"/>
  <c r="AB53" i="25" l="1"/>
  <c r="AB59" i="25"/>
  <c r="AB60" i="25"/>
  <c r="AB61" i="25"/>
  <c r="AB62" i="25"/>
  <c r="AB63" i="25"/>
  <c r="AB54" i="25"/>
  <c r="AB64" i="25"/>
  <c r="AB55" i="25"/>
  <c r="AB65" i="25"/>
  <c r="AB56" i="25"/>
  <c r="AB66" i="25"/>
  <c r="AB57" i="25"/>
  <c r="AB67" i="25"/>
  <c r="AB58" i="25"/>
  <c r="AB21" i="25"/>
  <c r="AB42" i="25"/>
  <c r="AB23" i="25"/>
  <c r="AB22" i="25"/>
  <c r="AB20" i="25"/>
  <c r="AB41" i="25"/>
  <c r="AB19" i="25"/>
  <c r="AB43" i="25"/>
  <c r="AB34" i="25"/>
  <c r="AB113" i="25"/>
  <c r="AB36" i="25"/>
  <c r="AB40" i="25"/>
  <c r="AB35" i="25"/>
  <c r="X16" i="25"/>
  <c r="Y116" i="25" s="1"/>
  <c r="AB37" i="25" l="1"/>
  <c r="AB24" i="25"/>
  <c r="AB29" i="25" s="1"/>
  <c r="AB44" i="25"/>
  <c r="AB46" i="25" s="1"/>
  <c r="AB48" i="25" l="1"/>
  <c r="AB106" i="25" s="1"/>
  <c r="AB108" i="25" s="1"/>
  <c r="AC108" i="25" s="1"/>
  <c r="AB116" i="25" l="1"/>
  <c r="AC116" i="25" s="1"/>
  <c r="AG109" i="25"/>
</calcChain>
</file>

<file path=xl/sharedStrings.xml><?xml version="1.0" encoding="utf-8"?>
<sst xmlns="http://schemas.openxmlformats.org/spreadsheetml/2006/main" count="102" uniqueCount="94">
  <si>
    <t>Venta con IVA</t>
  </si>
  <si>
    <t>Ventas:</t>
  </si>
  <si>
    <t>Venta Alimentos</t>
  </si>
  <si>
    <t>Venta Bebidas</t>
  </si>
  <si>
    <t>Ventas Totales</t>
  </si>
  <si>
    <t>Otros Ingresos</t>
  </si>
  <si>
    <t>Total Otros Ingresos</t>
  </si>
  <si>
    <t>TOTAL INGRESOS</t>
  </si>
  <si>
    <t>Costo de Producto:</t>
  </si>
  <si>
    <t>Costo Alimentos</t>
  </si>
  <si>
    <t>Costo Bebidas</t>
  </si>
  <si>
    <t>Costo Directo Total</t>
  </si>
  <si>
    <t>Comida de Empleados</t>
  </si>
  <si>
    <t>Costo de producto lndirecto</t>
  </si>
  <si>
    <t>TOTAL COSTO DE PRODUCTO</t>
  </si>
  <si>
    <t>Mano de Obra:</t>
  </si>
  <si>
    <t>Nomina</t>
  </si>
  <si>
    <t>Total Nomina</t>
  </si>
  <si>
    <t>Beneficios de Empleados</t>
  </si>
  <si>
    <t>Finiquitos y liquidaciones</t>
  </si>
  <si>
    <t>Costo Seg. Soc.</t>
  </si>
  <si>
    <t>Total Beneficios de Empleados</t>
  </si>
  <si>
    <t>Total Mano de Obra</t>
  </si>
  <si>
    <t>Costo de Producción</t>
  </si>
  <si>
    <t>Costos Variables:</t>
  </si>
  <si>
    <t>Desechables</t>
  </si>
  <si>
    <t>Total Costos Variables</t>
  </si>
  <si>
    <t>Costos Fijos:</t>
  </si>
  <si>
    <t>Luz</t>
  </si>
  <si>
    <t>Agua</t>
  </si>
  <si>
    <t>Seguro de Restaurante</t>
  </si>
  <si>
    <t>Total Costos Fijos</t>
  </si>
  <si>
    <t>Marketing y Publicidad</t>
  </si>
  <si>
    <t>Iguala Proveedores</t>
  </si>
  <si>
    <t>Total Marketing</t>
  </si>
  <si>
    <t>Gastos de Operación</t>
  </si>
  <si>
    <t>Total de Egresos</t>
  </si>
  <si>
    <t>Venta Otros</t>
  </si>
  <si>
    <t>Uniformes</t>
  </si>
  <si>
    <t>UTILIDAD O PERDIDA ANTES DE IMPUESTO</t>
  </si>
  <si>
    <t>Equipo de computo</t>
  </si>
  <si>
    <t>Facebook</t>
  </si>
  <si>
    <t>Ingresos por Fee Operativo</t>
  </si>
  <si>
    <t>Costo Fee Operativo</t>
  </si>
  <si>
    <t>Ingresos por Fee MKT</t>
  </si>
  <si>
    <t>UTILIDAD O PERDIDA ANTES DE IMPUESTO CON FEE OPERATIVO Y MKT</t>
  </si>
  <si>
    <t>Costo Fee MKT</t>
  </si>
  <si>
    <t>Prorrateo de Aguinaldos</t>
  </si>
  <si>
    <t>Horas Extras</t>
  </si>
  <si>
    <t xml:space="preserve">Bonos operativos </t>
  </si>
  <si>
    <t xml:space="preserve">Comision por Admon. De Nomina </t>
  </si>
  <si>
    <t>Comisiones Bancarias y Plataformas</t>
  </si>
  <si>
    <t>Venta Helados</t>
  </si>
  <si>
    <t>Venta Snack</t>
  </si>
  <si>
    <t>Costo Helados</t>
  </si>
  <si>
    <t>Costo Snack</t>
  </si>
  <si>
    <t>Costo de Desechables</t>
  </si>
  <si>
    <t>Cortesias y Descuentos en General</t>
  </si>
  <si>
    <t>Limpieza</t>
  </si>
  <si>
    <t>Mantenimiento Preventivo</t>
  </si>
  <si>
    <t>Mantenimiento correctivo</t>
  </si>
  <si>
    <t>Equipo Menor y Mayor</t>
  </si>
  <si>
    <t>Viaticos Generales</t>
  </si>
  <si>
    <t xml:space="preserve">Eventos, Renta, preparacion y ejecucion </t>
  </si>
  <si>
    <t>Telmex</t>
  </si>
  <si>
    <t>Iguala Agencia de MKT</t>
  </si>
  <si>
    <t>Papeleria</t>
  </si>
  <si>
    <t>Botiquin y medicamentos</t>
  </si>
  <si>
    <t>Analisis Bacteriologicos</t>
  </si>
  <si>
    <t>Refrendos y permisos municipales</t>
  </si>
  <si>
    <t>Otros costos variables</t>
  </si>
  <si>
    <t xml:space="preserve">Gas </t>
  </si>
  <si>
    <t>Renta de Local</t>
  </si>
  <si>
    <t>Mto del local</t>
  </si>
  <si>
    <t>Sistemas Streaming</t>
  </si>
  <si>
    <t>Recoleccion de basura</t>
  </si>
  <si>
    <t>Fumigacion</t>
  </si>
  <si>
    <t>Sistema Wansoft</t>
  </si>
  <si>
    <t>Gasolina</t>
  </si>
  <si>
    <t>Telefonia Celular</t>
  </si>
  <si>
    <t>Otros costos fijos</t>
  </si>
  <si>
    <t>Comisiones bancarias</t>
  </si>
  <si>
    <t xml:space="preserve">Comisiones terminales </t>
  </si>
  <si>
    <t>Comision Uber, Rappi y DiDi</t>
  </si>
  <si>
    <t>Promociones plataformas</t>
  </si>
  <si>
    <t>Materiales impresos</t>
  </si>
  <si>
    <t>Medios de comunicación</t>
  </si>
  <si>
    <t>Publicidad en plataformas</t>
  </si>
  <si>
    <t>Promedio del Promedio</t>
  </si>
  <si>
    <t>Son promedios</t>
  </si>
  <si>
    <t>Son promedios menos la renta</t>
  </si>
  <si>
    <t>2%%</t>
  </si>
  <si>
    <t>Promedio Suc 1</t>
  </si>
  <si>
    <t>Sucursal Ideal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</si>
</sst>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#,##0;\(#,##0\)"/>
    <numFmt numFmtId="167" formatCode="0.0%\ ;\(0.0%\)\ "/>
    <numFmt numFmtId="168" formatCode="&quot;$&quot;\ \ #,##0.00\ \ ;\(&quot;$&quot;#,##0.00\)"/>
    <numFmt numFmtId="169" formatCode="#,##0\ \ ;\(#,##0\)"/>
    <numFmt numFmtId="170" formatCode="0.00%\ ;\(0.00%\)\ "/>
    <numFmt numFmtId="171" formatCode="_-[$€-2]* #,##0.00_-;\-[$€-2]* #,##0.00_-;_-[$€-2]* &quot;-&quot;??_-"/>
  </numFmts>
  <fonts count="4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9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color theme="1"/>
      <name val="Arial"/>
      <family val="2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1"/>
      <color indexed="52"/>
      <name val="Calibri"/>
      <family val="2"/>
      <scheme val="minor"/>
    </font>
    <font>
      <sz val="11"/>
      <color indexed="52"/>
      <name val="Calibri"/>
      <family val="2"/>
      <scheme val="minor"/>
    </font>
    <font>
      <b/>
      <sz val="11"/>
      <color indexed="56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3"/>
      <color indexed="56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name val="Calibri"/>
      <family val="2"/>
    </font>
    <font>
      <u/>
      <sz val="10"/>
      <color theme="10"/>
      <name val="Arial"/>
      <family val="2"/>
    </font>
    <font>
      <sz val="9"/>
      <color theme="1"/>
      <name val="Calibri"/>
      <family val="2"/>
    </font>
  </fonts>
  <fills count="5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641">
    <xf numFmtId="0" fontId="0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0" fillId="12" borderId="19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" fillId="14" borderId="0" applyNumberFormat="0" applyBorder="0" applyAlignment="0" applyProtection="0"/>
    <xf numFmtId="0" fontId="23" fillId="15" borderId="0" applyNumberFormat="0" applyBorder="0" applyAlignment="0" applyProtection="0"/>
    <xf numFmtId="0" fontId="5" fillId="16" borderId="0" applyNumberFormat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4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25" fillId="0" borderId="0"/>
    <xf numFmtId="165" fontId="2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0" borderId="0" applyNumberFormat="0" applyBorder="0" applyAlignment="0" applyProtection="0"/>
    <xf numFmtId="0" fontId="5" fillId="22" borderId="0" applyNumberFormat="0" applyBorder="0" applyAlignment="0" applyProtection="0"/>
    <xf numFmtId="0" fontId="5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9" fillId="21" borderId="17" applyNumberFormat="0" applyAlignment="0" applyProtection="0"/>
    <xf numFmtId="0" fontId="30" fillId="0" borderId="21" applyNumberFormat="0" applyFill="0" applyAlignment="0" applyProtection="0"/>
    <xf numFmtId="0" fontId="31" fillId="0" borderId="0" applyNumberFormat="0" applyFill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27" borderId="0" applyNumberFormat="0" applyBorder="0" applyAlignment="0" applyProtection="0"/>
    <xf numFmtId="0" fontId="23" fillId="33" borderId="0" applyNumberFormat="0" applyBorder="0" applyAlignment="0" applyProtection="0"/>
    <xf numFmtId="0" fontId="18" fillId="21" borderId="17" applyNumberFormat="0" applyAlignment="0" applyProtection="0"/>
    <xf numFmtId="0" fontId="17" fillId="18" borderId="0" applyNumberFormat="0" applyBorder="0" applyAlignment="0" applyProtection="0"/>
    <xf numFmtId="164" fontId="27" fillId="0" borderId="0" applyFont="0" applyFill="0" applyBorder="0" applyAlignment="0" applyProtection="0"/>
    <xf numFmtId="0" fontId="32" fillId="11" borderId="0" applyNumberFormat="0" applyBorder="0" applyAlignment="0" applyProtection="0"/>
    <xf numFmtId="0" fontId="27" fillId="13" borderId="20" applyNumberFormat="0" applyFont="0" applyAlignment="0" applyProtection="0"/>
    <xf numFmtId="0" fontId="19" fillId="21" borderId="18" applyNumberFormat="0" applyAlignment="0" applyProtection="0"/>
    <xf numFmtId="0" fontId="28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31" fillId="0" borderId="23" applyNumberFormat="0" applyFill="0" applyAlignment="0" applyProtection="0"/>
    <xf numFmtId="0" fontId="1" fillId="0" borderId="24" applyNumberFormat="0" applyFill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25" applyNumberFormat="0" applyFill="0" applyAlignment="0" applyProtection="0"/>
    <xf numFmtId="0" fontId="37" fillId="0" borderId="26" applyNumberFormat="0" applyFill="0" applyAlignment="0" applyProtection="0"/>
    <xf numFmtId="0" fontId="38" fillId="0" borderId="2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17" fillId="35" borderId="0" applyNumberFormat="0" applyBorder="0" applyAlignment="0" applyProtection="0"/>
    <xf numFmtId="0" fontId="40" fillId="11" borderId="0" applyNumberFormat="0" applyBorder="0" applyAlignment="0" applyProtection="0"/>
    <xf numFmtId="0" fontId="18" fillId="36" borderId="17" applyNumberFormat="0" applyAlignment="0" applyProtection="0"/>
    <xf numFmtId="0" fontId="19" fillId="37" borderId="18" applyNumberFormat="0" applyAlignment="0" applyProtection="0"/>
    <xf numFmtId="0" fontId="41" fillId="37" borderId="17" applyNumberFormat="0" applyAlignment="0" applyProtection="0"/>
    <xf numFmtId="0" fontId="42" fillId="0" borderId="28" applyNumberFormat="0" applyFill="0" applyAlignment="0" applyProtection="0"/>
    <xf numFmtId="0" fontId="5" fillId="13" borderId="20" applyNumberFormat="0" applyFont="0" applyAlignment="0" applyProtection="0"/>
    <xf numFmtId="0" fontId="1" fillId="0" borderId="29" applyNumberFormat="0" applyFill="0" applyAlignment="0" applyProtection="0"/>
    <xf numFmtId="0" fontId="23" fillId="38" borderId="0" applyNumberFormat="0" applyBorder="0" applyAlignment="0" applyProtection="0"/>
    <xf numFmtId="0" fontId="5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23" fillId="42" borderId="0" applyNumberFormat="0" applyBorder="0" applyAlignment="0" applyProtection="0"/>
    <xf numFmtId="0" fontId="5" fillId="43" borderId="0" applyNumberFormat="0" applyBorder="0" applyAlignment="0" applyProtection="0"/>
    <xf numFmtId="0" fontId="5" fillId="44" borderId="0" applyNumberFormat="0" applyBorder="0" applyAlignment="0" applyProtection="0"/>
    <xf numFmtId="0" fontId="23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23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1" borderId="0" applyNumberFormat="0" applyBorder="0" applyAlignment="0" applyProtection="0"/>
    <xf numFmtId="0" fontId="5" fillId="52" borderId="0" applyNumberFormat="0" applyBorder="0" applyAlignment="0" applyProtection="0"/>
    <xf numFmtId="0" fontId="5" fillId="53" borderId="0" applyNumberFormat="0" applyBorder="0" applyAlignment="0" applyProtection="0"/>
    <xf numFmtId="0" fontId="5" fillId="54" borderId="0" applyNumberFormat="0" applyBorder="0" applyAlignment="0" applyProtection="0"/>
    <xf numFmtId="0" fontId="23" fillId="55" borderId="0" applyNumberFormat="0" applyBorder="0" applyAlignment="0" applyProtection="0"/>
    <xf numFmtId="0" fontId="5" fillId="56" borderId="0" applyNumberFormat="0" applyBorder="0" applyAlignment="0" applyProtection="0"/>
    <xf numFmtId="0" fontId="5" fillId="57" borderId="0" applyNumberFormat="0" applyBorder="0" applyAlignment="0" applyProtection="0"/>
    <xf numFmtId="0" fontId="5" fillId="58" borderId="0" applyNumberFormat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9" fontId="2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/>
    <xf numFmtId="0" fontId="4" fillId="0" borderId="0"/>
    <xf numFmtId="165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4" fillId="0" borderId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4" fillId="0" borderId="0"/>
    <xf numFmtId="17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1" fontId="4" fillId="0" borderId="0">
      <alignment wrapText="1"/>
    </xf>
    <xf numFmtId="171" fontId="5" fillId="0" borderId="0"/>
    <xf numFmtId="165" fontId="4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4" fillId="0" borderId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165" fontId="27" fillId="0" borderId="0" applyFont="0" applyFill="0" applyBorder="0" applyAlignment="0" applyProtection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171" fontId="4" fillId="0" borderId="0"/>
    <xf numFmtId="165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4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165" fontId="4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171" fontId="4" fillId="0" borderId="0"/>
    <xf numFmtId="164" fontId="26" fillId="0" borderId="0" applyFont="0" applyFill="0" applyBorder="0" applyAlignment="0" applyProtection="0"/>
    <xf numFmtId="171" fontId="4" fillId="0" borderId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1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4" fillId="0" borderId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4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25" fillId="0" borderId="0"/>
    <xf numFmtId="165" fontId="2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6" fillId="0" borderId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3" fillId="0" borderId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4" fontId="27" fillId="0" borderId="0" applyFont="0" applyFill="0" applyBorder="0" applyAlignment="0" applyProtection="0"/>
    <xf numFmtId="0" fontId="31" fillId="0" borderId="23" applyNumberFormat="0" applyFill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3" fillId="0" borderId="0"/>
    <xf numFmtId="164" fontId="43" fillId="0" borderId="0" applyFont="0" applyFill="0" applyBorder="0" applyAlignment="0" applyProtection="0"/>
    <xf numFmtId="0" fontId="43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0" fontId="43" fillId="0" borderId="0"/>
    <xf numFmtId="164" fontId="5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24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3" fillId="0" borderId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3" fillId="0" borderId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30" fillId="0" borderId="21" applyNumberFormat="0" applyFill="0" applyAlignment="0" applyProtection="0"/>
    <xf numFmtId="0" fontId="30" fillId="0" borderId="21" applyNumberFormat="0" applyFill="0" applyAlignment="0" applyProtection="0"/>
    <xf numFmtId="164" fontId="5" fillId="0" borderId="0" applyFont="0" applyFill="0" applyBorder="0" applyAlignment="0" applyProtection="0"/>
    <xf numFmtId="0" fontId="30" fillId="0" borderId="21" applyNumberFormat="0" applyFill="0" applyAlignment="0" applyProtection="0"/>
    <xf numFmtId="0" fontId="30" fillId="0" borderId="21" applyNumberFormat="0" applyFill="0" applyAlignment="0" applyProtection="0"/>
    <xf numFmtId="0" fontId="30" fillId="0" borderId="21" applyNumberFormat="0" applyFill="0" applyAlignment="0" applyProtection="0"/>
    <xf numFmtId="164" fontId="5" fillId="0" borderId="0" applyFont="0" applyFill="0" applyBorder="0" applyAlignment="0" applyProtection="0"/>
    <xf numFmtId="0" fontId="30" fillId="0" borderId="21" applyNumberFormat="0" applyFill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0" fillId="0" borderId="21" applyNumberFormat="0" applyFill="0" applyAlignment="0" applyProtection="0"/>
    <xf numFmtId="164" fontId="5" fillId="0" borderId="0" applyFont="0" applyFill="0" applyBorder="0" applyAlignment="0" applyProtection="0"/>
    <xf numFmtId="0" fontId="30" fillId="0" borderId="21" applyNumberFormat="0" applyFill="0" applyAlignment="0" applyProtection="0"/>
    <xf numFmtId="164" fontId="5" fillId="0" borderId="0" applyFont="0" applyFill="0" applyBorder="0" applyAlignment="0" applyProtection="0"/>
    <xf numFmtId="0" fontId="43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0" fillId="0" borderId="21" applyNumberFormat="0" applyFill="0" applyAlignment="0" applyProtection="0"/>
    <xf numFmtId="164" fontId="5" fillId="0" borderId="0" applyFont="0" applyFill="0" applyBorder="0" applyAlignment="0" applyProtection="0"/>
    <xf numFmtId="0" fontId="30" fillId="0" borderId="21" applyNumberFormat="0" applyFill="0" applyAlignment="0" applyProtection="0"/>
    <xf numFmtId="164" fontId="5" fillId="0" borderId="0" applyFont="0" applyFill="0" applyBorder="0" applyAlignment="0" applyProtection="0"/>
    <xf numFmtId="0" fontId="30" fillId="0" borderId="21" applyNumberFormat="0" applyFill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3" fillId="0" borderId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5" fillId="0" borderId="0"/>
    <xf numFmtId="165" fontId="2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4" borderId="0" applyNumberFormat="0" applyBorder="0" applyAlignment="0" applyProtection="0"/>
    <xf numFmtId="0" fontId="5" fillId="20" borderId="0" applyNumberFormat="0" applyBorder="0" applyAlignment="0" applyProtection="0"/>
    <xf numFmtId="0" fontId="5" fillId="22" borderId="0" applyNumberFormat="0" applyBorder="0" applyAlignment="0" applyProtection="0"/>
    <xf numFmtId="0" fontId="5" fillId="25" borderId="0" applyNumberFormat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0" fillId="0" borderId="21" applyNumberFormat="0" applyFill="0" applyAlignment="0" applyProtection="0"/>
    <xf numFmtId="0" fontId="30" fillId="0" borderId="21" applyNumberFormat="0" applyFill="0" applyAlignment="0" applyProtection="0"/>
    <xf numFmtId="0" fontId="30" fillId="0" borderId="21" applyNumberFormat="0" applyFill="0" applyAlignment="0" applyProtection="0"/>
    <xf numFmtId="0" fontId="30" fillId="0" borderId="21" applyNumberFormat="0" applyFill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0" fillId="0" borderId="21" applyNumberFormat="0" applyFill="0" applyAlignment="0" applyProtection="0"/>
    <xf numFmtId="0" fontId="30" fillId="0" borderId="21" applyNumberFormat="0" applyFill="0" applyAlignment="0" applyProtection="0"/>
    <xf numFmtId="0" fontId="30" fillId="0" borderId="21" applyNumberFormat="0" applyFill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0" fontId="30" fillId="0" borderId="21" applyNumberFormat="0" applyFill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0" fillId="0" borderId="21" applyNumberFormat="0" applyFill="0" applyAlignment="0" applyProtection="0"/>
    <xf numFmtId="0" fontId="30" fillId="0" borderId="21" applyNumberFormat="0" applyFill="0" applyAlignment="0" applyProtection="0"/>
    <xf numFmtId="0" fontId="30" fillId="0" borderId="21" applyNumberFormat="0" applyFill="0" applyAlignment="0" applyProtection="0"/>
    <xf numFmtId="164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4" fillId="0" borderId="0" applyNumberFormat="0" applyFill="0" applyBorder="0" applyAlignment="0" applyProtection="0"/>
    <xf numFmtId="165" fontId="45" fillId="0" borderId="0" applyFont="0" applyFill="0" applyBorder="0" applyAlignment="0" applyProtection="0"/>
    <xf numFmtId="164" fontId="45" fillId="0" borderId="0" applyFont="0" applyFill="0" applyBorder="0" applyAlignment="0" applyProtection="0"/>
    <xf numFmtId="0" fontId="45" fillId="0" borderId="0"/>
    <xf numFmtId="171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5" fillId="0" borderId="0" applyFont="0" applyFill="0" applyBorder="0" applyAlignment="0" applyProtection="0"/>
    <xf numFmtId="164" fontId="4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04">
    <xf numFmtId="0" fontId="0" fillId="0" borderId="0" xfId="0"/>
    <xf numFmtId="0" fontId="2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39" fontId="4" fillId="4" borderId="0" xfId="0" applyNumberFormat="1" applyFont="1" applyFill="1" applyAlignment="1">
      <alignment vertical="center"/>
    </xf>
    <xf numFmtId="166" fontId="4" fillId="4" borderId="5" xfId="0" applyNumberFormat="1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64" fontId="4" fillId="5" borderId="4" xfId="0" applyNumberFormat="1" applyFont="1" applyFill="1" applyBorder="1" applyAlignment="1">
      <alignment vertical="center"/>
    </xf>
    <xf numFmtId="166" fontId="4" fillId="4" borderId="0" xfId="0" applyNumberFormat="1" applyFont="1" applyFill="1" applyAlignment="1">
      <alignment vertical="center"/>
    </xf>
    <xf numFmtId="164" fontId="2" fillId="6" borderId="6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4" borderId="4" xfId="0" applyFont="1" applyFill="1" applyBorder="1" applyAlignment="1">
      <alignment vertical="center"/>
    </xf>
    <xf numFmtId="170" fontId="4" fillId="7" borderId="0" xfId="0" applyNumberFormat="1" applyFont="1" applyFill="1" applyAlignment="1">
      <alignment vertical="center"/>
    </xf>
    <xf numFmtId="170" fontId="2" fillId="6" borderId="7" xfId="0" applyNumberFormat="1" applyFont="1" applyFill="1" applyBorder="1" applyAlignment="1">
      <alignment vertical="center"/>
    </xf>
    <xf numFmtId="0" fontId="0" fillId="7" borderId="0" xfId="0" applyFill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/>
    </xf>
    <xf numFmtId="0" fontId="8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8" fillId="4" borderId="5" xfId="0" applyFont="1" applyFill="1" applyBorder="1" applyAlignment="1">
      <alignment vertical="center"/>
    </xf>
    <xf numFmtId="166" fontId="9" fillId="4" borderId="0" xfId="0" applyNumberFormat="1" applyFont="1" applyFill="1" applyAlignment="1">
      <alignment horizontal="center" vertical="center"/>
    </xf>
    <xf numFmtId="166" fontId="9" fillId="4" borderId="5" xfId="0" applyNumberFormat="1" applyFont="1" applyFill="1" applyBorder="1" applyAlignment="1">
      <alignment horizontal="center" vertical="center"/>
    </xf>
    <xf numFmtId="0" fontId="10" fillId="4" borderId="4" xfId="0" applyFont="1" applyFill="1" applyBorder="1"/>
    <xf numFmtId="0" fontId="11" fillId="4" borderId="0" xfId="0" applyFont="1" applyFill="1" applyAlignment="1">
      <alignment vertical="center"/>
    </xf>
    <xf numFmtId="39" fontId="11" fillId="4" borderId="0" xfId="0" applyNumberFormat="1" applyFont="1" applyFill="1" applyAlignment="1">
      <alignment vertical="center"/>
    </xf>
    <xf numFmtId="166" fontId="11" fillId="4" borderId="5" xfId="0" applyNumberFormat="1" applyFont="1" applyFill="1" applyBorder="1" applyAlignment="1">
      <alignment vertical="center"/>
    </xf>
    <xf numFmtId="0" fontId="11" fillId="4" borderId="4" xfId="0" applyFont="1" applyFill="1" applyBorder="1" applyAlignment="1">
      <alignment vertical="center"/>
    </xf>
    <xf numFmtId="164" fontId="11" fillId="5" borderId="4" xfId="0" applyNumberFormat="1" applyFont="1" applyFill="1" applyBorder="1" applyAlignment="1">
      <alignment vertical="center"/>
    </xf>
    <xf numFmtId="167" fontId="11" fillId="4" borderId="0" xfId="0" applyNumberFormat="1" applyFont="1" applyFill="1" applyAlignment="1">
      <alignment vertical="center"/>
    </xf>
    <xf numFmtId="166" fontId="11" fillId="4" borderId="0" xfId="0" applyNumberFormat="1" applyFont="1" applyFill="1" applyAlignment="1">
      <alignment vertical="center"/>
    </xf>
    <xf numFmtId="167" fontId="10" fillId="4" borderId="7" xfId="0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4" borderId="8" xfId="0" applyFont="1" applyFill="1" applyBorder="1" applyAlignment="1">
      <alignment vertical="center"/>
    </xf>
    <xf numFmtId="0" fontId="11" fillId="4" borderId="9" xfId="0" applyFont="1" applyFill="1" applyBorder="1" applyAlignment="1">
      <alignment vertical="center"/>
    </xf>
    <xf numFmtId="0" fontId="10" fillId="4" borderId="9" xfId="0" applyFont="1" applyFill="1" applyBorder="1" applyAlignment="1">
      <alignment vertical="center"/>
    </xf>
    <xf numFmtId="39" fontId="11" fillId="4" borderId="9" xfId="0" applyNumberFormat="1" applyFont="1" applyFill="1" applyBorder="1" applyAlignment="1">
      <alignment vertical="center"/>
    </xf>
    <xf numFmtId="166" fontId="11" fillId="4" borderId="10" xfId="0" applyNumberFormat="1" applyFont="1" applyFill="1" applyBorder="1" applyAlignment="1">
      <alignment vertical="center"/>
    </xf>
    <xf numFmtId="167" fontId="11" fillId="4" borderId="9" xfId="0" applyNumberFormat="1" applyFont="1" applyFill="1" applyBorder="1" applyAlignment="1">
      <alignment vertical="center"/>
    </xf>
    <xf numFmtId="0" fontId="10" fillId="4" borderId="4" xfId="0" applyFont="1" applyFill="1" applyBorder="1" applyAlignment="1">
      <alignment vertical="center"/>
    </xf>
    <xf numFmtId="170" fontId="11" fillId="7" borderId="0" xfId="0" applyNumberFormat="1" applyFont="1" applyFill="1" applyAlignment="1">
      <alignment vertical="center"/>
    </xf>
    <xf numFmtId="170" fontId="10" fillId="6" borderId="7" xfId="0" applyNumberFormat="1" applyFont="1" applyFill="1" applyBorder="1" applyAlignment="1">
      <alignment vertical="center"/>
    </xf>
    <xf numFmtId="170" fontId="11" fillId="4" borderId="0" xfId="0" applyNumberFormat="1" applyFont="1" applyFill="1" applyAlignment="1">
      <alignment vertical="center"/>
    </xf>
    <xf numFmtId="0" fontId="6" fillId="7" borderId="0" xfId="0" applyFont="1" applyFill="1"/>
    <xf numFmtId="0" fontId="6" fillId="0" borderId="9" xfId="0" applyFont="1" applyBorder="1"/>
    <xf numFmtId="170" fontId="10" fillId="8" borderId="9" xfId="0" applyNumberFormat="1" applyFont="1" applyFill="1" applyBorder="1" applyAlignment="1">
      <alignment vertical="center"/>
    </xf>
    <xf numFmtId="0" fontId="6" fillId="9" borderId="4" xfId="0" applyFont="1" applyFill="1" applyBorder="1"/>
    <xf numFmtId="0" fontId="6" fillId="9" borderId="0" xfId="0" applyFont="1" applyFill="1"/>
    <xf numFmtId="0" fontId="12" fillId="9" borderId="0" xfId="0" applyFont="1" applyFill="1" applyAlignment="1">
      <alignment vertical="center"/>
    </xf>
    <xf numFmtId="0" fontId="13" fillId="9" borderId="0" xfId="0" applyFont="1" applyFill="1" applyAlignment="1">
      <alignment vertical="center"/>
    </xf>
    <xf numFmtId="0" fontId="11" fillId="9" borderId="0" xfId="0" applyFont="1" applyFill="1" applyAlignment="1">
      <alignment vertical="center"/>
    </xf>
    <xf numFmtId="166" fontId="11" fillId="9" borderId="5" xfId="0" applyNumberFormat="1" applyFont="1" applyFill="1" applyBorder="1" applyAlignment="1">
      <alignment vertical="center"/>
    </xf>
    <xf numFmtId="170" fontId="10" fillId="9" borderId="0" xfId="0" applyNumberFormat="1" applyFont="1" applyFill="1" applyAlignment="1">
      <alignment vertical="center"/>
    </xf>
    <xf numFmtId="166" fontId="10" fillId="9" borderId="5" xfId="0" applyNumberFormat="1" applyFont="1" applyFill="1" applyBorder="1" applyAlignment="1">
      <alignment vertical="center"/>
    </xf>
    <xf numFmtId="0" fontId="10" fillId="9" borderId="0" xfId="0" applyFont="1" applyFill="1" applyAlignment="1">
      <alignment vertical="center"/>
    </xf>
    <xf numFmtId="0" fontId="11" fillId="4" borderId="5" xfId="0" applyFont="1" applyFill="1" applyBorder="1" applyAlignment="1">
      <alignment vertical="center"/>
    </xf>
    <xf numFmtId="0" fontId="10" fillId="9" borderId="11" xfId="0" applyFont="1" applyFill="1" applyBorder="1" applyAlignment="1">
      <alignment vertical="center"/>
    </xf>
    <xf numFmtId="0" fontId="11" fillId="9" borderId="12" xfId="0" applyFont="1" applyFill="1" applyBorder="1" applyAlignment="1">
      <alignment vertical="center"/>
    </xf>
    <xf numFmtId="0" fontId="6" fillId="9" borderId="12" xfId="0" applyFont="1" applyFill="1" applyBorder="1"/>
    <xf numFmtId="0" fontId="11" fillId="9" borderId="13" xfId="0" applyFont="1" applyFill="1" applyBorder="1" applyAlignment="1">
      <alignment vertical="center"/>
    </xf>
    <xf numFmtId="164" fontId="10" fillId="10" borderId="11" xfId="0" applyNumberFormat="1" applyFont="1" applyFill="1" applyBorder="1" applyAlignment="1">
      <alignment vertical="center"/>
    </xf>
    <xf numFmtId="10" fontId="10" fillId="10" borderId="12" xfId="0" applyNumberFormat="1" applyFont="1" applyFill="1" applyBorder="1" applyAlignment="1">
      <alignment vertical="center"/>
    </xf>
    <xf numFmtId="166" fontId="11" fillId="7" borderId="5" xfId="0" applyNumberFormat="1" applyFont="1" applyFill="1" applyBorder="1" applyAlignment="1">
      <alignment vertical="center"/>
    </xf>
    <xf numFmtId="0" fontId="6" fillId="7" borderId="5" xfId="0" applyFont="1" applyFill="1" applyBorder="1"/>
    <xf numFmtId="0" fontId="11" fillId="7" borderId="0" xfId="0" applyFont="1" applyFill="1" applyAlignment="1">
      <alignment vertical="center"/>
    </xf>
    <xf numFmtId="0" fontId="11" fillId="7" borderId="4" xfId="0" applyFont="1" applyFill="1" applyBorder="1" applyAlignment="1">
      <alignment vertical="center"/>
    </xf>
    <xf numFmtId="39" fontId="11" fillId="7" borderId="0" xfId="0" applyNumberFormat="1" applyFont="1" applyFill="1" applyAlignment="1">
      <alignment vertical="center"/>
    </xf>
    <xf numFmtId="0" fontId="6" fillId="7" borderId="1" xfId="0" applyFont="1" applyFill="1" applyBorder="1"/>
    <xf numFmtId="0" fontId="6" fillId="7" borderId="2" xfId="0" applyFont="1" applyFill="1" applyBorder="1"/>
    <xf numFmtId="0" fontId="6" fillId="7" borderId="3" xfId="0" applyFont="1" applyFill="1" applyBorder="1"/>
    <xf numFmtId="0" fontId="6" fillId="7" borderId="4" xfId="0" applyFont="1" applyFill="1" applyBorder="1"/>
    <xf numFmtId="0" fontId="6" fillId="7" borderId="14" xfId="0" applyFont="1" applyFill="1" applyBorder="1"/>
    <xf numFmtId="0" fontId="6" fillId="7" borderId="15" xfId="0" applyFont="1" applyFill="1" applyBorder="1"/>
    <xf numFmtId="0" fontId="6" fillId="7" borderId="16" xfId="0" applyFont="1" applyFill="1" applyBorder="1"/>
    <xf numFmtId="0" fontId="4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10" fontId="11" fillId="4" borderId="0" xfId="0" applyNumberFormat="1" applyFont="1" applyFill="1" applyAlignment="1">
      <alignment vertical="center"/>
    </xf>
    <xf numFmtId="0" fontId="34" fillId="0" borderId="0" xfId="0" applyFont="1"/>
    <xf numFmtId="0" fontId="16" fillId="0" borderId="0" xfId="0" applyFont="1"/>
    <xf numFmtId="164" fontId="10" fillId="4" borderId="4" xfId="0" applyNumberFormat="1" applyFont="1" applyFill="1" applyBorder="1" applyAlignment="1">
      <alignment horizontal="center" vertical="center"/>
    </xf>
    <xf numFmtId="166" fontId="11" fillId="4" borderId="4" xfId="0" applyNumberFormat="1" applyFont="1" applyFill="1" applyBorder="1" applyAlignment="1">
      <alignment vertical="center"/>
    </xf>
    <xf numFmtId="164" fontId="10" fillId="6" borderId="6" xfId="0" applyNumberFormat="1" applyFont="1" applyFill="1" applyBorder="1" applyAlignment="1">
      <alignment vertical="center"/>
    </xf>
    <xf numFmtId="168" fontId="11" fillId="7" borderId="4" xfId="0" applyNumberFormat="1" applyFont="1" applyFill="1" applyBorder="1" applyAlignment="1">
      <alignment vertical="center"/>
    </xf>
    <xf numFmtId="164" fontId="10" fillId="8" borderId="8" xfId="0" applyNumberFormat="1" applyFont="1" applyFill="1" applyBorder="1" applyAlignment="1">
      <alignment vertical="center"/>
    </xf>
    <xf numFmtId="169" fontId="11" fillId="4" borderId="4" xfId="0" applyNumberFormat="1" applyFont="1" applyFill="1" applyBorder="1" applyAlignment="1">
      <alignment vertical="center"/>
    </xf>
    <xf numFmtId="164" fontId="10" fillId="9" borderId="4" xfId="0" applyNumberFormat="1" applyFont="1" applyFill="1" applyBorder="1" applyAlignment="1">
      <alignment vertical="center"/>
    </xf>
    <xf numFmtId="169" fontId="11" fillId="4" borderId="8" xfId="0" applyNumberFormat="1" applyFont="1" applyFill="1" applyBorder="1" applyAlignment="1">
      <alignment vertical="center"/>
    </xf>
    <xf numFmtId="0" fontId="16" fillId="7" borderId="1" xfId="0" applyFont="1" applyFill="1" applyBorder="1"/>
    <xf numFmtId="0" fontId="16" fillId="7" borderId="2" xfId="0" applyFont="1" applyFill="1" applyBorder="1"/>
    <xf numFmtId="0" fontId="16" fillId="7" borderId="3" xfId="0" applyFont="1" applyFill="1" applyBorder="1"/>
    <xf numFmtId="0" fontId="16" fillId="0" borderId="4" xfId="0" applyFont="1" applyBorder="1"/>
    <xf numFmtId="0" fontId="16" fillId="7" borderId="0" xfId="0" applyFont="1" applyFill="1"/>
    <xf numFmtId="0" fontId="16" fillId="7" borderId="5" xfId="0" applyFont="1" applyFill="1" applyBorder="1"/>
    <xf numFmtId="0" fontId="4" fillId="7" borderId="4" xfId="0" applyFont="1" applyFill="1" applyBorder="1" applyAlignment="1">
      <alignment vertical="center"/>
    </xf>
    <xf numFmtId="166" fontId="4" fillId="7" borderId="5" xfId="0" applyNumberFormat="1" applyFont="1" applyFill="1" applyBorder="1" applyAlignment="1">
      <alignment vertical="center"/>
    </xf>
    <xf numFmtId="164" fontId="2" fillId="7" borderId="4" xfId="0" applyNumberFormat="1" applyFont="1" applyFill="1" applyBorder="1" applyAlignment="1">
      <alignment vertical="center"/>
    </xf>
    <xf numFmtId="170" fontId="2" fillId="7" borderId="0" xfId="0" applyNumberFormat="1" applyFont="1" applyFill="1" applyAlignment="1">
      <alignment vertical="center"/>
    </xf>
    <xf numFmtId="166" fontId="9" fillId="3" borderId="1" xfId="0" applyNumberFormat="1" applyFont="1" applyFill="1" applyBorder="1" applyAlignment="1">
      <alignment horizontal="center" vertical="center" wrapText="1"/>
    </xf>
    <xf numFmtId="166" fontId="9" fillId="3" borderId="2" xfId="0" applyNumberFormat="1" applyFont="1" applyFill="1" applyBorder="1" applyAlignment="1">
      <alignment horizontal="center" vertical="center" wrapText="1"/>
    </xf>
    <xf numFmtId="166" fontId="9" fillId="3" borderId="3" xfId="0" applyNumberFormat="1" applyFont="1" applyFill="1" applyBorder="1" applyAlignment="1">
      <alignment horizontal="center" vertical="center" wrapText="1"/>
    </xf>
    <xf numFmtId="43" fontId="0" fillId="0" borderId="0" xfId="15640" applyFont="1"/>
  </cellXfs>
  <cellStyles count="15677">
    <cellStyle name="20% - Accent1" xfId="132" builtinId="30" customBuiltin="1"/>
    <cellStyle name="20% - Accent2" xfId="136" builtinId="34" customBuiltin="1"/>
    <cellStyle name="20% - Accent3" xfId="139" builtinId="38" customBuiltin="1"/>
    <cellStyle name="20% - Accent4" xfId="143" builtinId="42" customBuiltin="1"/>
    <cellStyle name="20% - Accent5" xfId="23" builtinId="46" customBuiltin="1"/>
    <cellStyle name="20% - Accent6" xfId="149" builtinId="50" customBuiltin="1"/>
    <cellStyle name="20% - Énfasis1 2" xfId="44" xr:uid="{00000000-0005-0000-0000-000000000000}"/>
    <cellStyle name="20% - Énfasis1 2 2" xfId="6594" xr:uid="{019A9BB6-70BE-45E0-ADC6-9BA7E0A27BB7}"/>
    <cellStyle name="20% - Énfasis2 2" xfId="45" xr:uid="{00000000-0005-0000-0000-000001000000}"/>
    <cellStyle name="20% - Énfasis2 2 2" xfId="6595" xr:uid="{AE3B1BE4-93B8-4623-9A68-ED1BE36CC1A0}"/>
    <cellStyle name="20% - Énfasis3 2" xfId="46" xr:uid="{00000000-0005-0000-0000-000002000000}"/>
    <cellStyle name="20% - Énfasis3 2 2" xfId="6596" xr:uid="{1E469FCC-4F43-4AC0-BA11-8C7D6587D536}"/>
    <cellStyle name="20% - Énfasis4 2" xfId="47" xr:uid="{00000000-0005-0000-0000-000003000000}"/>
    <cellStyle name="20% - Énfasis4 2 2" xfId="6597" xr:uid="{2F72D766-70C5-48E2-BB80-1A777FCA16B3}"/>
    <cellStyle name="20% - Énfasis5 2" xfId="6579" xr:uid="{FCEA6931-8102-421B-8F41-345DD4126961}"/>
    <cellStyle name="20% - Énfasis6 2" xfId="48" xr:uid="{00000000-0005-0000-0000-000005000000}"/>
    <cellStyle name="20% - Énfasis6 2 2" xfId="6598" xr:uid="{04525A02-1B19-4288-B7D2-582237F09CE0}"/>
    <cellStyle name="40% - Accent1" xfId="133" builtinId="31" customBuiltin="1"/>
    <cellStyle name="40% - Accent2" xfId="21" builtinId="35" customBuiltin="1"/>
    <cellStyle name="40% - Accent3" xfId="140" builtinId="39" customBuiltin="1"/>
    <cellStyle name="40% - Accent4" xfId="144" builtinId="43" customBuiltin="1"/>
    <cellStyle name="40% - Accent5" xfId="146" builtinId="47" customBuiltin="1"/>
    <cellStyle name="40% - Accent6" xfId="150" builtinId="51" customBuiltin="1"/>
    <cellStyle name="40% - Énfasis1 2" xfId="49" xr:uid="{00000000-0005-0000-0000-000006000000}"/>
    <cellStyle name="40% - Énfasis1 2 2" xfId="6599" xr:uid="{49352D1A-4CCC-48C4-8271-411E29A6F978}"/>
    <cellStyle name="40% - Énfasis2 2" xfId="6578" xr:uid="{833A487F-07F2-4FB4-9F60-8E5A069B9BED}"/>
    <cellStyle name="40% - Énfasis3 2" xfId="50" xr:uid="{00000000-0005-0000-0000-000008000000}"/>
    <cellStyle name="40% - Énfasis3 2 2" xfId="6600" xr:uid="{F9E90985-D98D-4F2A-92A1-F86E86D5BC08}"/>
    <cellStyle name="40% - Énfasis4 2" xfId="51" xr:uid="{00000000-0005-0000-0000-000009000000}"/>
    <cellStyle name="40% - Énfasis4 2 2" xfId="6601" xr:uid="{45DB8E94-9E1A-4A71-B7CB-2BAA3B40D408}"/>
    <cellStyle name="40% - Énfasis5 2" xfId="52" xr:uid="{00000000-0005-0000-0000-00000A000000}"/>
    <cellStyle name="40% - Énfasis5 2 2" xfId="6602" xr:uid="{3BFB5471-6138-4081-9D0D-16E8F56F419C}"/>
    <cellStyle name="40% - Énfasis6 2" xfId="53" xr:uid="{00000000-0005-0000-0000-00000B000000}"/>
    <cellStyle name="40% - Énfasis6 2 2" xfId="6603" xr:uid="{6C8809EA-5D08-40CD-9B6F-6B276BC19BED}"/>
    <cellStyle name="60% - Accent1" xfId="134" builtinId="32" customBuiltin="1"/>
    <cellStyle name="60% - Accent2" xfId="137" builtinId="36" customBuiltin="1"/>
    <cellStyle name="60% - Accent3" xfId="141" builtinId="40" customBuiltin="1"/>
    <cellStyle name="60% - Accent4" xfId="145" builtinId="44" customBuiltin="1"/>
    <cellStyle name="60% - Accent5" xfId="147" builtinId="48" customBuiltin="1"/>
    <cellStyle name="60% - Accent6" xfId="151" builtinId="52" customBuiltin="1"/>
    <cellStyle name="60% - Énfasis1 2" xfId="54" xr:uid="{00000000-0005-0000-0000-00000C000000}"/>
    <cellStyle name="60% - Énfasis2 2" xfId="55" xr:uid="{00000000-0005-0000-0000-00000D000000}"/>
    <cellStyle name="60% - Énfasis3 2" xfId="56" xr:uid="{00000000-0005-0000-0000-00000E000000}"/>
    <cellStyle name="60% - Énfasis4 2" xfId="57" xr:uid="{00000000-0005-0000-0000-00000F000000}"/>
    <cellStyle name="60% - Énfasis5 2" xfId="58" xr:uid="{00000000-0005-0000-0000-000010000000}"/>
    <cellStyle name="60% - Énfasis6 2" xfId="59" xr:uid="{00000000-0005-0000-0000-000011000000}"/>
    <cellStyle name="Accent1" xfId="131" builtinId="29" customBuiltin="1"/>
    <cellStyle name="Accent2" xfId="135" builtinId="33" customBuiltin="1"/>
    <cellStyle name="Accent3" xfId="138" builtinId="37" customBuiltin="1"/>
    <cellStyle name="Accent4" xfId="142" builtinId="41" customBuiltin="1"/>
    <cellStyle name="Accent5" xfId="22" builtinId="45" customBuiltin="1"/>
    <cellStyle name="Accent6" xfId="148" builtinId="49" customBuiltin="1"/>
    <cellStyle name="Bad" xfId="123" builtinId="27" customBuiltin="1"/>
    <cellStyle name="Calculation" xfId="127" builtinId="22" customBuiltin="1"/>
    <cellStyle name="Cálculo 2" xfId="60" xr:uid="{00000000-0005-0000-0000-000012000000}"/>
    <cellStyle name="Celda vinculada 2" xfId="61" xr:uid="{00000000-0005-0000-0000-000014000000}"/>
    <cellStyle name="Celda vinculada 2 10" xfId="3444" xr:uid="{8B9C7DD2-965F-4653-B13B-AB210498B77A}"/>
    <cellStyle name="Celda vinculada 2 11" xfId="3453" xr:uid="{DF6CBBC3-CA45-493B-B2B3-010D5FA321E6}"/>
    <cellStyle name="Celda vinculada 2 12" xfId="3448" xr:uid="{84F37A81-72BC-4D08-954D-5F773E2F4751}"/>
    <cellStyle name="Celda vinculada 2 13" xfId="6730" xr:uid="{9A2E5495-A17F-41FA-B667-B826CC18A6BB}"/>
    <cellStyle name="Celda vinculada 2 14" xfId="6729" xr:uid="{E4782E9C-48F5-4905-8830-D1739905351D}"/>
    <cellStyle name="Celda vinculada 2 15" xfId="6719" xr:uid="{4D5DF132-2B10-4F7F-88C7-69E851306D66}"/>
    <cellStyle name="Celda vinculada 2 16" xfId="6720" xr:uid="{7AA2FC7B-7130-4E01-B58C-318FE89734F5}"/>
    <cellStyle name="Celda vinculada 2 17" xfId="6722" xr:uid="{88C84796-D5BE-492D-908E-1D995F283C21}"/>
    <cellStyle name="Celda vinculada 2 18" xfId="6721" xr:uid="{7B95942C-3876-4ECB-9D4A-0B4FAE519397}"/>
    <cellStyle name="Celda vinculada 2 19" xfId="6731" xr:uid="{101CFBBA-7F9A-474C-9452-E22FC55709F7}"/>
    <cellStyle name="Celda vinculada 2 2" xfId="3441" xr:uid="{9FD3EDC7-976C-43B6-A0E0-88771F39F525}"/>
    <cellStyle name="Celda vinculada 2 20" xfId="8102" xr:uid="{C18AA5E5-62C3-4FFC-ACC4-4BC6CE1D7F74}"/>
    <cellStyle name="Celda vinculada 2 21" xfId="8103" xr:uid="{56DA122A-4F0C-4E61-9A3D-E4BF533EE015}"/>
    <cellStyle name="Celda vinculada 2 22" xfId="8104" xr:uid="{212EE7E6-3895-43C6-9A99-88F8B02C7444}"/>
    <cellStyle name="Celda vinculada 2 23" xfId="8095" xr:uid="{806E1241-9C6F-43AD-84F4-257FF510F5D8}"/>
    <cellStyle name="Celda vinculada 2 3" xfId="3455" xr:uid="{36388FD6-BC8C-4FBE-9BDD-5A5F8805F704}"/>
    <cellStyle name="Celda vinculada 2 4" xfId="3464" xr:uid="{5BA09188-C7CD-4E47-A631-FC9FF25FC8E7}"/>
    <cellStyle name="Celda vinculada 2 5" xfId="3462" xr:uid="{E46DD29F-EC51-49AA-BB3A-20D1EB5425FA}"/>
    <cellStyle name="Celda vinculada 2 6" xfId="3466" xr:uid="{DE281D26-94FC-4B86-8B9C-6AFA83A42F2A}"/>
    <cellStyle name="Celda vinculada 2 7" xfId="3442" xr:uid="{1A0C1802-1FC3-4871-AE46-9E311533E589}"/>
    <cellStyle name="Celda vinculada 2 8" xfId="3445" xr:uid="{4718A037-7D38-45B4-85C1-E4D49958A222}"/>
    <cellStyle name="Celda vinculada 2 9" xfId="3446" xr:uid="{D89A1E95-C33F-4AC5-96C2-BCBFB94B2E2E}"/>
    <cellStyle name="Check Cell" xfId="18" builtinId="23" customBuiltin="1"/>
    <cellStyle name="Comma" xfId="15640" builtinId="3"/>
    <cellStyle name="Comma 2" xfId="941" xr:uid="{CF80E181-EF67-45F3-9036-EB7B4AE73E0D}"/>
    <cellStyle name="Comma 2 2" xfId="1058" xr:uid="{A33E8374-C6B7-4113-953E-9AEC08B29C03}"/>
    <cellStyle name="Comma 2 2 2" xfId="4018" xr:uid="{9A7DB0D4-D0C9-41A5-86EA-02035B3AA59F}"/>
    <cellStyle name="Comma 2 2 2 2" xfId="11586" xr:uid="{EF8BA789-706E-448C-A4E2-8BAC74A1B856}"/>
    <cellStyle name="Comma 2 2 3" xfId="8666" xr:uid="{2BC410EA-9E0E-4803-B4DF-3827C7B6BD89}"/>
    <cellStyle name="Comma 2 3" xfId="1422" xr:uid="{AB1B8230-C7D0-4AA8-A9A0-2E825A8317AE}"/>
    <cellStyle name="Comma 2 3 2" xfId="4382" xr:uid="{41E68065-F38C-42CD-A174-39F3612C2069}"/>
    <cellStyle name="Comma 2 3 2 2" xfId="11950" xr:uid="{7EC22D65-F4CE-490C-9CB2-45F935C9462A}"/>
    <cellStyle name="Comma 2 3 3" xfId="9030" xr:uid="{8FCF9082-DBD2-49B9-B715-925104181116}"/>
    <cellStyle name="Comma 2 4" xfId="3981" xr:uid="{D3524CC1-23CA-49B0-BC38-93F91E32D97E}"/>
    <cellStyle name="Comma 2 4 2" xfId="11549" xr:uid="{C16C1746-DBBC-46C3-BB13-522BB0401CB3}"/>
    <cellStyle name="Comma 2 5" xfId="8629" xr:uid="{EF1D7A27-CCA1-4BAA-BE4F-EEBC77F30DC0}"/>
    <cellStyle name="Currency 2" xfId="987" xr:uid="{B6323505-4A2F-4F43-8F63-90E00861BB7B}"/>
    <cellStyle name="Currency 2 2" xfId="1059" xr:uid="{FFFD2780-08B7-41CB-83E5-7550A560FA50}"/>
    <cellStyle name="Currency 2 2 2" xfId="4019" xr:uid="{88668792-2860-49C8-A357-6B76142222B4}"/>
    <cellStyle name="Currency 2 2 2 2" xfId="11587" xr:uid="{5296B505-D8E4-4D13-A36E-3BC850C3AE47}"/>
    <cellStyle name="Currency 2 2 3" xfId="8667" xr:uid="{62B4BE3C-B971-40D4-86F7-803B994DBD4E}"/>
    <cellStyle name="Currency 2 3" xfId="1423" xr:uid="{08B671DC-5A88-456A-869C-81F499AF2C62}"/>
    <cellStyle name="Currency 2 3 2" xfId="4383" xr:uid="{3A09BB26-0233-42A0-9F92-16EC09F98A8D}"/>
    <cellStyle name="Currency 2 3 2 2" xfId="11951" xr:uid="{BAFF7D91-388E-44CC-89B9-5A228B531B27}"/>
    <cellStyle name="Currency 2 3 3" xfId="9031" xr:uid="{545457BF-0987-44E1-9104-7577C45D66E1}"/>
    <cellStyle name="Currency 2 4" xfId="3997" xr:uid="{CEC82547-4715-4124-B144-CB801D4BD914}"/>
    <cellStyle name="Currency 2 4 2" xfId="11565" xr:uid="{E7CD68A3-B01B-4387-9A0D-F436B77ED1BC}"/>
    <cellStyle name="Currency 2 5" xfId="8645" xr:uid="{A8618F62-AB91-4BED-BA50-3B0A547ABBBA}"/>
    <cellStyle name="Encabezado 4 2" xfId="62" xr:uid="{00000000-0005-0000-0000-000015000000}"/>
    <cellStyle name="Énfasis1 2" xfId="63" xr:uid="{00000000-0005-0000-0000-000016000000}"/>
    <cellStyle name="Énfasis2 2" xfId="64" xr:uid="{00000000-0005-0000-0000-000017000000}"/>
    <cellStyle name="Énfasis3 2" xfId="65" xr:uid="{00000000-0005-0000-0000-000018000000}"/>
    <cellStyle name="Énfasis4 2" xfId="66" xr:uid="{00000000-0005-0000-0000-000019000000}"/>
    <cellStyle name="Énfasis6 2" xfId="67" xr:uid="{00000000-0005-0000-0000-00001B000000}"/>
    <cellStyle name="Entrada 2" xfId="68" xr:uid="{00000000-0005-0000-0000-00001C000000}"/>
    <cellStyle name="Euro" xfId="188" xr:uid="{31FED8B8-3349-4E8A-B926-863FC31B7842}"/>
    <cellStyle name="Explanatory Text" xfId="20" builtinId="53" customBuiltin="1"/>
    <cellStyle name="Followed Hyperlink" xfId="97" builtinId="9" hidden="1"/>
    <cellStyle name="Followed Hyperlink" xfId="91" builtinId="9" hidden="1"/>
    <cellStyle name="Followed Hyperlink" xfId="89" builtinId="9" hidden="1"/>
    <cellStyle name="Followed Hyperlink" xfId="111" builtinId="9" hidden="1"/>
    <cellStyle name="Followed Hyperlink" xfId="113" builtinId="9" hidden="1"/>
    <cellStyle name="Followed Hyperlink" xfId="101" builtinId="9" hidden="1"/>
    <cellStyle name="Followed Hyperlink" xfId="99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85" builtinId="9" hidden="1"/>
    <cellStyle name="Followed Hyperlink" xfId="87" builtinId="9" hidden="1"/>
    <cellStyle name="Followed Hyperlink" xfId="95" builtinId="9" hidden="1"/>
    <cellStyle name="Followed Hyperlink" xfId="93" builtinId="9" hidden="1"/>
    <cellStyle name="Followed Hyperlink" xfId="2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8" builtinId="9" hidden="1"/>
    <cellStyle name="Followed Hyperlink" xfId="4" builtinId="9" hidden="1"/>
    <cellStyle name="Followed Hyperlink" xfId="6" builtinId="9" hidden="1"/>
    <cellStyle name="Followed Hyperlink" xfId="83" builtinId="9" hidden="1"/>
    <cellStyle name="Good" xfId="122" builtinId="26" customBuiltin="1"/>
    <cellStyle name="Heading 1" xfId="118" builtinId="16" customBuiltin="1"/>
    <cellStyle name="Heading 2" xfId="119" builtinId="17" customBuiltin="1"/>
    <cellStyle name="Heading 3" xfId="120" builtinId="18" customBuiltin="1"/>
    <cellStyle name="Heading 4" xfId="121" builtinId="19" customBuiltin="1"/>
    <cellStyle name="Hipervínculo 2" xfId="2445" xr:uid="{B569A7F5-E7A4-4B2C-B812-B3610A0D341F}"/>
    <cellStyle name="Hipervínculo 2 2" xfId="8109" xr:uid="{9632C90C-D79D-453A-B3AF-2FC5647DB3F9}"/>
    <cellStyle name="Hyperlink" xfId="90" builtinId="8" hidden="1"/>
    <cellStyle name="Hyperlink" xfId="92" builtinId="8" hidden="1"/>
    <cellStyle name="Hyperlink" xfId="94" builtinId="8" hidden="1"/>
    <cellStyle name="Hyperlink" xfId="86" builtinId="8" hidden="1"/>
    <cellStyle name="Hyperlink" xfId="88" builtinId="8" hidden="1"/>
    <cellStyle name="Hyperlink" xfId="84" builtinId="8" hidden="1"/>
    <cellStyle name="Hyperlink" xfId="96" builtinId="8" hidden="1"/>
    <cellStyle name="Hyperlink" xfId="9" builtinId="8" hidden="1"/>
    <cellStyle name="Hyperlink" xfId="11" builtinId="8" hidden="1"/>
    <cellStyle name="Hyperlink" xfId="13" builtinId="8" hidden="1"/>
    <cellStyle name="Hyperlink" xfId="3" builtinId="8" hidden="1"/>
    <cellStyle name="Hyperlink" xfId="100" builtinId="8" hidden="1"/>
    <cellStyle name="Hyperlink" xfId="102" builtinId="8" hidden="1"/>
    <cellStyle name="Hyperlink" xfId="1" builtinId="8" hidden="1"/>
    <cellStyle name="Hyperlink" xfId="98" builtinId="8" hidden="1"/>
    <cellStyle name="Hyperlink" xfId="5" builtinId="8" hidden="1"/>
    <cellStyle name="Hyperlink" xfId="112" builtinId="8" hidden="1"/>
    <cellStyle name="Hyperlink" xfId="106" builtinId="8" hidden="1"/>
    <cellStyle name="Hyperlink" xfId="82" builtinId="8" hidden="1"/>
    <cellStyle name="Hyperlink" xfId="7" builtinId="8" hidden="1"/>
    <cellStyle name="Hyperlink" xfId="108" builtinId="8" hidden="1"/>
    <cellStyle name="Hyperlink" xfId="110" builtinId="8" hidden="1"/>
    <cellStyle name="Hyperlink" xfId="104" builtinId="8" hidden="1"/>
    <cellStyle name="Incorrecto 2" xfId="69" xr:uid="{00000000-0005-0000-0000-00004B000000}"/>
    <cellStyle name="Input" xfId="125" builtinId="20" customBuiltin="1"/>
    <cellStyle name="Linked Cell" xfId="128" builtinId="24" customBuiltin="1"/>
    <cellStyle name="Millares 10" xfId="114" xr:uid="{00000000-0005-0000-0000-00004C000000}"/>
    <cellStyle name="Millares 10 2" xfId="171" xr:uid="{4A8E7606-B29F-42A9-A02B-7CB6087362A8}"/>
    <cellStyle name="Millares 10 2 2" xfId="3480" xr:uid="{A29C212A-1EAF-4C78-90B3-2E266102EFAC}"/>
    <cellStyle name="Millares 10 2 2 2" xfId="11048" xr:uid="{5F61D77B-2B5A-4D86-A712-3345E7F40942}"/>
    <cellStyle name="Millares 10 2 3" xfId="8128" xr:uid="{179F89D2-E9F6-4D59-8DA1-3AC54DF867A4}"/>
    <cellStyle name="Millares 10 3" xfId="214" xr:uid="{BDD7BFBB-2692-4996-9BA5-F169C941A605}"/>
    <cellStyle name="Millares 10 3 2" xfId="3506" xr:uid="{E605B735-F66B-4199-8F2A-E0C766838779}"/>
    <cellStyle name="Millares 10 3 2 2" xfId="11074" xr:uid="{2F297591-F2B9-4D9D-A888-5E9BFD73ED91}"/>
    <cellStyle name="Millares 10 3 3" xfId="8154" xr:uid="{E58A26CC-DB4F-43F3-8367-E9FF0F3C6129}"/>
    <cellStyle name="Millares 10 4" xfId="1076" xr:uid="{F9D147DE-001C-45C5-A9F5-E73428C678D3}"/>
    <cellStyle name="Millares 10 4 2" xfId="4036" xr:uid="{CCE4134A-10CC-40F0-A502-BD8C235A55D8}"/>
    <cellStyle name="Millares 10 4 2 2" xfId="11604" xr:uid="{2DBBA100-6568-4696-AE2A-CE662D0660D6}"/>
    <cellStyle name="Millares 10 4 3" xfId="8684" xr:uid="{DD0F513F-3DF3-4C67-B25C-BB31127B2DC2}"/>
    <cellStyle name="Millares 10 5" xfId="1440" xr:uid="{97BD447F-DFB6-409D-9166-2155EA273E87}"/>
    <cellStyle name="Millares 10 5 2" xfId="4400" xr:uid="{3782BD12-7F9C-4005-A8B1-76B669C1A9F7}"/>
    <cellStyle name="Millares 10 5 2 2" xfId="11968" xr:uid="{A0EA9F22-EB92-4556-B7F5-2250613FF1AF}"/>
    <cellStyle name="Millares 10 5 3" xfId="9048" xr:uid="{E59EC753-13C1-44AF-A01C-7525BEEC3878}"/>
    <cellStyle name="Millares 10 6" xfId="1819" xr:uid="{A3A8EFF9-A763-45EB-A8E5-BEF3F1A76A04}"/>
    <cellStyle name="Millares 10 6 2" xfId="4778" xr:uid="{D99A169B-6340-4A1A-9BB9-647DB4BBE062}"/>
    <cellStyle name="Millares 10 6 2 2" xfId="12346" xr:uid="{B622888C-8C49-421A-BC01-1E5388E1B71B}"/>
    <cellStyle name="Millares 10 6 3" xfId="9426" xr:uid="{77EE5C77-EC37-4801-B90D-2B9A62A50518}"/>
    <cellStyle name="Millares 10 7" xfId="3469" xr:uid="{577B0DCE-D6A5-402E-A50A-FA24A73CFA54}"/>
    <cellStyle name="Millares 10 7 2" xfId="11037" xr:uid="{97F353BC-5841-4CA8-8080-61E2A12F9813}"/>
    <cellStyle name="Millares 10 8" xfId="8117" xr:uid="{330B38B6-5E2E-44CB-86D2-A1132CB5098D}"/>
    <cellStyle name="Millares 10 9" xfId="157" xr:uid="{BEF15FE9-17F9-4F46-9327-362D73AEA53A}"/>
    <cellStyle name="Millares 100" xfId="483" xr:uid="{52A8E8CB-4F02-42C7-AE71-6F2C144DECD2}"/>
    <cellStyle name="Millares 100 2" xfId="1256" xr:uid="{95A65025-E559-4B66-94D8-8D89D3C5C34B}"/>
    <cellStyle name="Millares 100 2 2" xfId="4216" xr:uid="{8AAE586B-A8B3-4B67-86AF-A82724AB5067}"/>
    <cellStyle name="Millares 100 2 2 2" xfId="11784" xr:uid="{2C329D0F-F31D-46E2-9C2D-55C21800A5BA}"/>
    <cellStyle name="Millares 100 2 3" xfId="8864" xr:uid="{4DB6A44C-28D3-45E5-A045-537425A88911}"/>
    <cellStyle name="Millares 100 3" xfId="1620" xr:uid="{6C328D5C-3F79-4CC6-8BF2-638A82E38D51}"/>
    <cellStyle name="Millares 100 3 2" xfId="4580" xr:uid="{48041A63-1FA4-4EDF-941C-1A94F7C8EC2A}"/>
    <cellStyle name="Millares 100 3 2 2" xfId="12148" xr:uid="{008EA5FE-1DA9-45F0-8929-AB0E1F091162}"/>
    <cellStyle name="Millares 100 3 3" xfId="9228" xr:uid="{DD2EF3DD-56EA-4B7E-A99F-C83364C2341A}"/>
    <cellStyle name="Millares 100 4" xfId="1999" xr:uid="{4C2BF8BC-98BC-4113-B070-FD444572F9C4}"/>
    <cellStyle name="Millares 100 4 2" xfId="4958" xr:uid="{B28DDB8C-8A6F-441C-B494-D227470C7A9C}"/>
    <cellStyle name="Millares 100 4 2 2" xfId="12526" xr:uid="{98781CA8-E0E5-4508-9046-D6420B1C91A2}"/>
    <cellStyle name="Millares 100 4 3" xfId="9606" xr:uid="{76E654EE-3DCB-48F4-BA66-771CF0BC545F}"/>
    <cellStyle name="Millares 100 5" xfId="3685" xr:uid="{72C688D3-555F-46D4-A88D-843C389A9E49}"/>
    <cellStyle name="Millares 100 5 2" xfId="11253" xr:uid="{AC210112-2E8A-4EA2-8DC7-98A659A307AD}"/>
    <cellStyle name="Millares 100 6" xfId="8333" xr:uid="{11856E7C-A256-4DA9-A5E6-173EFBC00FE9}"/>
    <cellStyle name="Millares 101" xfId="486" xr:uid="{43455AFF-E6A7-4A2B-A62C-91BA2749CB82}"/>
    <cellStyle name="Millares 101 2" xfId="1258" xr:uid="{73654CF8-32B4-44C0-8EC2-51CF3461BCC0}"/>
    <cellStyle name="Millares 101 2 2" xfId="4218" xr:uid="{0C4038F9-E6BA-4167-86BE-A17442FC2D63}"/>
    <cellStyle name="Millares 101 2 2 2" xfId="11786" xr:uid="{42BA6B1C-7E4E-4D32-8F2C-D0E7D6496D04}"/>
    <cellStyle name="Millares 101 2 3" xfId="8866" xr:uid="{2D3C4EF1-451E-4D91-BCC0-47051C96F6A0}"/>
    <cellStyle name="Millares 101 3" xfId="1622" xr:uid="{50E2DF58-0A36-4B07-9582-BFA8430FA663}"/>
    <cellStyle name="Millares 101 3 2" xfId="4582" xr:uid="{B009E6F5-2202-45D9-94FD-0E8EF2447667}"/>
    <cellStyle name="Millares 101 3 2 2" xfId="12150" xr:uid="{2E1A216F-AB03-46C9-B0AA-A02E02E96214}"/>
    <cellStyle name="Millares 101 3 3" xfId="9230" xr:uid="{04E30382-6638-4941-A503-860E8C2A9496}"/>
    <cellStyle name="Millares 101 4" xfId="2001" xr:uid="{C76D1555-8AF7-4783-9E0A-93D4C9EA8B1C}"/>
    <cellStyle name="Millares 101 4 2" xfId="4960" xr:uid="{0AD86BE7-4184-4D0A-A501-6E5151A0A1EA}"/>
    <cellStyle name="Millares 101 4 2 2" xfId="12528" xr:uid="{720B3CBD-B49C-44E6-A4B4-72A833A1F8E9}"/>
    <cellStyle name="Millares 101 4 3" xfId="9608" xr:uid="{BC17C861-910F-410D-B0B5-1054D953D1C4}"/>
    <cellStyle name="Millares 101 5" xfId="3687" xr:uid="{642DE6D0-17EF-409A-93E4-6F4BB9F5DF23}"/>
    <cellStyle name="Millares 101 5 2" xfId="11255" xr:uid="{985526C9-F362-4500-84F9-C0E0540F6B17}"/>
    <cellStyle name="Millares 101 6" xfId="8335" xr:uid="{1A267A1A-30A6-4AE5-A61B-5214D55BAD48}"/>
    <cellStyle name="Millares 102" xfId="489" xr:uid="{CF3D53CB-903E-4B74-9B2B-F9B5A3B5006E}"/>
    <cellStyle name="Millares 102 2" xfId="1260" xr:uid="{33468407-D97D-4E36-A0AE-98A23F52729F}"/>
    <cellStyle name="Millares 102 2 2" xfId="4220" xr:uid="{BB622CC5-F9FF-4E42-B145-8D12E5FCB627}"/>
    <cellStyle name="Millares 102 2 2 2" xfId="11788" xr:uid="{ED328F0E-04C6-4304-A4B8-6BBD598074C8}"/>
    <cellStyle name="Millares 102 2 3" xfId="8868" xr:uid="{79FE6446-C07D-43BC-9B01-48EE09C8D079}"/>
    <cellStyle name="Millares 102 3" xfId="1624" xr:uid="{7D7041C9-9C85-4B35-B488-7E5B1BD2BD34}"/>
    <cellStyle name="Millares 102 3 2" xfId="4584" xr:uid="{2F2CFC7D-33F7-4041-9A6B-CC7E9BC8ED6D}"/>
    <cellStyle name="Millares 102 3 2 2" xfId="12152" xr:uid="{49B52611-381C-4E4A-B2F1-E3C995B7B804}"/>
    <cellStyle name="Millares 102 3 3" xfId="9232" xr:uid="{188AB21D-FC1A-4244-9CA5-B812102BFBF8}"/>
    <cellStyle name="Millares 102 4" xfId="2003" xr:uid="{80A0538A-139A-42A3-B23E-1FC586CBE5D2}"/>
    <cellStyle name="Millares 102 4 2" xfId="4962" xr:uid="{090D8F59-4898-4019-82C8-F0C6AA4DA2B8}"/>
    <cellStyle name="Millares 102 4 2 2" xfId="12530" xr:uid="{657D1A25-E540-41DF-9A05-60EF30854F91}"/>
    <cellStyle name="Millares 102 4 3" xfId="9610" xr:uid="{B57CCCD1-84E4-40CD-B93C-0D1785970421}"/>
    <cellStyle name="Millares 102 5" xfId="3689" xr:uid="{B56D87E1-4F71-48E0-AC40-1F1109923E85}"/>
    <cellStyle name="Millares 102 5 2" xfId="11257" xr:uid="{4D07AAA6-3209-469C-9C7B-B45F51306A03}"/>
    <cellStyle name="Millares 102 6" xfId="8337" xr:uid="{099D1223-A01B-4606-A311-3CB366F01E9E}"/>
    <cellStyle name="Millares 103" xfId="492" xr:uid="{444E8565-2DE7-42EF-913B-77C66FBAF0B2}"/>
    <cellStyle name="Millares 103 2" xfId="1262" xr:uid="{0A2917C9-5DD8-43D2-A3DB-A8A60ACF5723}"/>
    <cellStyle name="Millares 103 2 2" xfId="4222" xr:uid="{F08FB78A-102A-4474-BE8D-FC83450335D2}"/>
    <cellStyle name="Millares 103 2 2 2" xfId="11790" xr:uid="{D421A0A6-9CF2-4FBF-8E05-7F590A377AFC}"/>
    <cellStyle name="Millares 103 2 3" xfId="8870" xr:uid="{7E3F5984-2BED-4AEE-9518-59ADD2AC442F}"/>
    <cellStyle name="Millares 103 3" xfId="1626" xr:uid="{FB0BB706-9B5D-46B7-A512-FB380CC66A71}"/>
    <cellStyle name="Millares 103 3 2" xfId="4586" xr:uid="{00728AA1-4853-41CC-ABC4-9FC126847049}"/>
    <cellStyle name="Millares 103 3 2 2" xfId="12154" xr:uid="{46B79669-3DC8-43DC-BA61-A724AAA67B1F}"/>
    <cellStyle name="Millares 103 3 3" xfId="9234" xr:uid="{9A4B1B5B-ED3D-427B-91AE-1C42AEE7BE47}"/>
    <cellStyle name="Millares 103 4" xfId="2005" xr:uid="{D423E1DC-F7B7-420A-B615-215EDB571971}"/>
    <cellStyle name="Millares 103 4 2" xfId="4964" xr:uid="{BE44537B-1014-4269-85E7-9EA579B09C08}"/>
    <cellStyle name="Millares 103 4 2 2" xfId="12532" xr:uid="{616E78A9-8AA2-4313-A802-AB86659E7F9E}"/>
    <cellStyle name="Millares 103 4 3" xfId="9612" xr:uid="{4960D3EB-09DD-4D0A-8F6F-AF7DC3889D8C}"/>
    <cellStyle name="Millares 103 5" xfId="3691" xr:uid="{4D797A5E-A394-4359-967D-04AF558ED5DF}"/>
    <cellStyle name="Millares 103 5 2" xfId="11259" xr:uid="{6419CD89-145D-4465-A270-1025BEBD0DE8}"/>
    <cellStyle name="Millares 103 6" xfId="8339" xr:uid="{EC216C8B-398D-4916-AA28-06637A8EDDD4}"/>
    <cellStyle name="Millares 104" xfId="495" xr:uid="{15BFA658-3C9C-40AF-A612-3314FF0FF712}"/>
    <cellStyle name="Millares 104 2" xfId="1264" xr:uid="{157A58C3-A2F6-44E5-B9DC-31130A5AD8AF}"/>
    <cellStyle name="Millares 104 2 2" xfId="4224" xr:uid="{E2E4ED24-579D-4B5F-B7D6-521B81ABA100}"/>
    <cellStyle name="Millares 104 2 2 2" xfId="11792" xr:uid="{46962726-F7D2-4D9A-BB81-D1C61C1C966E}"/>
    <cellStyle name="Millares 104 2 3" xfId="8872" xr:uid="{A8136C78-D63B-496D-A54A-608DEEBDFFBB}"/>
    <cellStyle name="Millares 104 3" xfId="1628" xr:uid="{85AC273D-C265-4FEC-BE4F-4C89C681F0F5}"/>
    <cellStyle name="Millares 104 3 2" xfId="4588" xr:uid="{6BF30171-B587-4355-A3CD-1D394E7CA5E9}"/>
    <cellStyle name="Millares 104 3 2 2" xfId="12156" xr:uid="{BFE807B7-1E43-46AC-A772-0F69E9BFC3A5}"/>
    <cellStyle name="Millares 104 3 3" xfId="9236" xr:uid="{DC8EF46F-54AC-4BB2-8185-D11B33A93031}"/>
    <cellStyle name="Millares 104 4" xfId="2007" xr:uid="{8D7CDDA3-5E99-4BD9-9CC8-501AC53AED1F}"/>
    <cellStyle name="Millares 104 4 2" xfId="4966" xr:uid="{28145D74-BE63-469F-BC2B-84C9B5261B7B}"/>
    <cellStyle name="Millares 104 4 2 2" xfId="12534" xr:uid="{98C71118-9BFC-46BC-963E-33B5AD954858}"/>
    <cellStyle name="Millares 104 4 3" xfId="9614" xr:uid="{7A816081-B7A8-4E4A-8B40-DD619B8D7189}"/>
    <cellStyle name="Millares 104 5" xfId="3693" xr:uid="{35A9FB36-4B3E-4126-B13E-5CE09C2AC548}"/>
    <cellStyle name="Millares 104 5 2" xfId="11261" xr:uid="{CF916624-311E-4D71-B736-58A1509067AD}"/>
    <cellStyle name="Millares 104 6" xfId="8341" xr:uid="{4934C31A-723E-4F81-AEC1-00C9C9EF459F}"/>
    <cellStyle name="Millares 105" xfId="498" xr:uid="{64E69996-7AD3-4D07-A28E-6A3E1C86C4BF}"/>
    <cellStyle name="Millares 105 2" xfId="1266" xr:uid="{743E8FD6-DD84-413E-9C77-459EA7A0DDCA}"/>
    <cellStyle name="Millares 105 2 2" xfId="4226" xr:uid="{F174DE24-8DFB-40CA-AD8F-C721A15F48E7}"/>
    <cellStyle name="Millares 105 2 2 2" xfId="11794" xr:uid="{71822A89-F47F-41BF-B8BE-497707424E3A}"/>
    <cellStyle name="Millares 105 2 3" xfId="8874" xr:uid="{D2FAF4DC-5A6B-4843-B9F0-01C28E11177E}"/>
    <cellStyle name="Millares 105 3" xfId="1630" xr:uid="{4E111ED4-EF4F-4A30-BF54-B15054A4EC34}"/>
    <cellStyle name="Millares 105 3 2" xfId="4590" xr:uid="{38EC947B-7212-49A9-9AF9-4698150BFE56}"/>
    <cellStyle name="Millares 105 3 2 2" xfId="12158" xr:uid="{25ED646B-E443-4280-883B-37CE611E29F3}"/>
    <cellStyle name="Millares 105 3 3" xfId="9238" xr:uid="{0EB8C6B5-8F29-4129-929C-8BA3A4AC4FBB}"/>
    <cellStyle name="Millares 105 4" xfId="2009" xr:uid="{D77F850A-838E-4108-9A73-CFD0E0DC1916}"/>
    <cellStyle name="Millares 105 4 2" xfId="4968" xr:uid="{F976C9F8-A8F0-499E-BBBA-9DBF24F311FB}"/>
    <cellStyle name="Millares 105 4 2 2" xfId="12536" xr:uid="{112BA970-2DB0-482B-AA86-7A466108B2F3}"/>
    <cellStyle name="Millares 105 4 3" xfId="9616" xr:uid="{813D75A2-0A8A-4805-B84B-CBF53E90AFFB}"/>
    <cellStyle name="Millares 105 5" xfId="3695" xr:uid="{3148A8D2-F26D-4250-B1A2-DBB9F3DF39CC}"/>
    <cellStyle name="Millares 105 5 2" xfId="11263" xr:uid="{A7CE0F05-463C-404C-A859-A32CCA0A54CC}"/>
    <cellStyle name="Millares 105 6" xfId="8343" xr:uid="{E03CCC2C-F343-44CA-80DC-9DA27223E2DC}"/>
    <cellStyle name="Millares 106" xfId="501" xr:uid="{E2D790C7-49F6-4E34-B8FD-241FB0191AAB}"/>
    <cellStyle name="Millares 106 2" xfId="1268" xr:uid="{EAD7248D-0C5D-4419-BFA4-EB2B5E543EAB}"/>
    <cellStyle name="Millares 106 2 2" xfId="4228" xr:uid="{018CC804-C53A-4FA7-A5A7-D0579ED22BB8}"/>
    <cellStyle name="Millares 106 2 2 2" xfId="11796" xr:uid="{3775485E-6E9E-433F-9E43-167786B91352}"/>
    <cellStyle name="Millares 106 2 3" xfId="8876" xr:uid="{B0CFF9E4-403F-487B-B24C-51C189647CEF}"/>
    <cellStyle name="Millares 106 3" xfId="1632" xr:uid="{7CC45084-5B79-441E-A77E-DD57F51464D9}"/>
    <cellStyle name="Millares 106 3 2" xfId="4592" xr:uid="{E6A08C65-7156-4A81-8F76-6098D8C40050}"/>
    <cellStyle name="Millares 106 3 2 2" xfId="12160" xr:uid="{9C838527-DAB9-47FF-86DF-E4D783F0E261}"/>
    <cellStyle name="Millares 106 3 3" xfId="9240" xr:uid="{48BD930F-5B39-427B-9006-7E95847A99F9}"/>
    <cellStyle name="Millares 106 4" xfId="2011" xr:uid="{98693E7C-46B8-41A1-9962-F6A2C323423C}"/>
    <cellStyle name="Millares 106 4 2" xfId="4970" xr:uid="{376FC839-DC88-4854-9362-0186C6B6208E}"/>
    <cellStyle name="Millares 106 4 2 2" xfId="12538" xr:uid="{5A5F8627-F6FC-4539-9286-E27C861A5A18}"/>
    <cellStyle name="Millares 106 4 3" xfId="9618" xr:uid="{567C7490-35D3-4A8A-8240-EF322FD76A49}"/>
    <cellStyle name="Millares 106 5" xfId="3697" xr:uid="{8990258C-3178-45FD-998D-334035BD59FD}"/>
    <cellStyle name="Millares 106 5 2" xfId="11265" xr:uid="{B1BAC506-1368-4CC4-998B-12017FB1D39E}"/>
    <cellStyle name="Millares 106 6" xfId="8345" xr:uid="{9D34FDFB-F80C-4C02-B2A7-1948C7738FD4}"/>
    <cellStyle name="Millares 107" xfId="504" xr:uid="{9C496A0E-7D4F-45EA-A9CA-A4ADB4880EDE}"/>
    <cellStyle name="Millares 107 2" xfId="1270" xr:uid="{56E00864-4734-4FD9-B2CE-3FA8DC6644BB}"/>
    <cellStyle name="Millares 107 2 2" xfId="4230" xr:uid="{2F469398-4D6F-4D46-A8DE-8A78E81AD4B9}"/>
    <cellStyle name="Millares 107 2 2 2" xfId="11798" xr:uid="{93D40FF1-D8A4-494D-BF09-70C860813539}"/>
    <cellStyle name="Millares 107 2 3" xfId="8878" xr:uid="{4B3525FB-FF8F-4F78-98B0-E791682AF0B2}"/>
    <cellStyle name="Millares 107 3" xfId="1634" xr:uid="{DCD2D246-61F8-4B47-899A-BE6E1149821D}"/>
    <cellStyle name="Millares 107 3 2" xfId="4594" xr:uid="{A37A115B-B910-490F-A237-BE3E91C64CC8}"/>
    <cellStyle name="Millares 107 3 2 2" xfId="12162" xr:uid="{6F2B0928-12EA-464F-91C3-2B409266B0D3}"/>
    <cellStyle name="Millares 107 3 3" xfId="9242" xr:uid="{B3F8D0A4-5802-4D81-A67C-3DF306465DC8}"/>
    <cellStyle name="Millares 107 4" xfId="2013" xr:uid="{15A2DEAD-BE86-4D6F-BB27-CC58B99B0FAC}"/>
    <cellStyle name="Millares 107 4 2" xfId="4972" xr:uid="{F1BF06E0-207D-4FB4-B3E9-F3B04D937D77}"/>
    <cellStyle name="Millares 107 4 2 2" xfId="12540" xr:uid="{4C574686-7B29-44BA-9B8D-F78A78EE6209}"/>
    <cellStyle name="Millares 107 4 3" xfId="9620" xr:uid="{35A2B1DA-4A7D-45B6-A91E-77B6CFE8432C}"/>
    <cellStyle name="Millares 107 5" xfId="3699" xr:uid="{E84A910D-36A6-49E6-B295-A092587D9590}"/>
    <cellStyle name="Millares 107 5 2" xfId="11267" xr:uid="{E72F7AE6-5868-47B9-9D30-C804C7666062}"/>
    <cellStyle name="Millares 107 6" xfId="8347" xr:uid="{8D4177F7-CBF2-4054-9E84-5B698AD823EE}"/>
    <cellStyle name="Millares 108" xfId="193" xr:uid="{B9887838-F5FC-463C-87EF-638AA691F808}"/>
    <cellStyle name="Millares 108 2" xfId="507" xr:uid="{4EFE290E-D8CE-49A3-B6D9-B1FE1A89BCF2}"/>
    <cellStyle name="Millares 108 2 2" xfId="3701" xr:uid="{9A12C19C-9D43-46A4-93C6-F93C916955BB}"/>
    <cellStyle name="Millares 108 2 2 2" xfId="11269" xr:uid="{8314ACFD-AB99-4DFE-A042-3670E71B00D2}"/>
    <cellStyle name="Millares 108 2 3" xfId="8349" xr:uid="{74B01FE8-1412-45C7-8EC2-F397B8D96F81}"/>
    <cellStyle name="Millares 108 3" xfId="1272" xr:uid="{D4E20506-5A38-4C68-82C4-ECBE42EDBF12}"/>
    <cellStyle name="Millares 108 3 2" xfId="4232" xr:uid="{D30265A0-5C51-429E-A445-6D3914C13EDF}"/>
    <cellStyle name="Millares 108 3 2 2" xfId="11800" xr:uid="{60E05E04-850A-47BE-846F-678B58A37A1F}"/>
    <cellStyle name="Millares 108 3 3" xfId="8880" xr:uid="{54B6CF59-92E0-4CBF-AEDE-3E920D38D45F}"/>
    <cellStyle name="Millares 108 4" xfId="1636" xr:uid="{A9E824B8-F051-48E4-A8AE-6D0F8D37806A}"/>
    <cellStyle name="Millares 108 4 2" xfId="4596" xr:uid="{D7006DF2-CC7C-46B1-AA4B-A7A8A7F734FE}"/>
    <cellStyle name="Millares 108 4 2 2" xfId="12164" xr:uid="{8D038827-C5A5-4C82-A340-0F5352469839}"/>
    <cellStyle name="Millares 108 4 3" xfId="9244" xr:uid="{A9791EFC-9528-4D31-BC4F-6D6A5B3DD2D8}"/>
    <cellStyle name="Millares 108 5" xfId="2015" xr:uid="{247680CA-FC76-4BDA-913E-D8A03C8B8B92}"/>
    <cellStyle name="Millares 108 5 2" xfId="4974" xr:uid="{F5180B69-ADF3-453B-87A1-E45DA60F0719}"/>
    <cellStyle name="Millares 108 5 2 2" xfId="12542" xr:uid="{DF3E671F-2BF6-4EA0-A215-19CDC4137722}"/>
    <cellStyle name="Millares 108 5 3" xfId="9622" xr:uid="{01396C1B-8BEF-47B2-A548-F0D99834C937}"/>
    <cellStyle name="Millares 108 6" xfId="3494" xr:uid="{C39AFC2A-2F07-4196-AC49-23022D924F5A}"/>
    <cellStyle name="Millares 108 6 2" xfId="11062" xr:uid="{8D8089D1-6B66-4DCD-A57E-D0A4D0CCA939}"/>
    <cellStyle name="Millares 108 7" xfId="8142" xr:uid="{E3B2D455-44FB-4EB3-8260-408FF9BA78CD}"/>
    <cellStyle name="Millares 109" xfId="511" xr:uid="{F23BE08D-FF27-4D67-879B-4301E7E7E172}"/>
    <cellStyle name="Millares 109 2" xfId="1274" xr:uid="{4DD4D56F-98B9-4D94-BDBE-630FC092A2F4}"/>
    <cellStyle name="Millares 109 2 2" xfId="4234" xr:uid="{A7A28894-46D1-46BF-8E3B-8539C7376B47}"/>
    <cellStyle name="Millares 109 2 2 2" xfId="11802" xr:uid="{DC382ACE-FFB4-460E-A3C9-BC602C4A39A6}"/>
    <cellStyle name="Millares 109 2 3" xfId="8882" xr:uid="{59373470-54D0-4881-9646-CA766005BF72}"/>
    <cellStyle name="Millares 109 3" xfId="1638" xr:uid="{A7C80755-6949-42B3-8A1C-A76C34D00772}"/>
    <cellStyle name="Millares 109 3 2" xfId="4598" xr:uid="{52959837-2323-4169-BE85-A4B1615585EC}"/>
    <cellStyle name="Millares 109 3 2 2" xfId="12166" xr:uid="{F5677096-3261-4205-88A3-DC452716DE10}"/>
    <cellStyle name="Millares 109 3 3" xfId="9246" xr:uid="{A141D5FD-51BD-46A7-B8B6-BBC48A064DBB}"/>
    <cellStyle name="Millares 109 4" xfId="2017" xr:uid="{801BCFD3-6662-4943-A7B1-8C3EBC3227D0}"/>
    <cellStyle name="Millares 109 4 2" xfId="4976" xr:uid="{E8861082-02AC-48F3-81F6-38A5A155A0D2}"/>
    <cellStyle name="Millares 109 4 2 2" xfId="12544" xr:uid="{1FC3841B-88B4-4061-AC69-91FC1B9E888C}"/>
    <cellStyle name="Millares 109 4 3" xfId="9624" xr:uid="{6ECE901B-3031-4D7F-9792-6E548DCE4A1A}"/>
    <cellStyle name="Millares 109 5" xfId="3703" xr:uid="{0A699C95-2905-428C-8420-FA92DFC8B6A3}"/>
    <cellStyle name="Millares 109 5 2" xfId="11271" xr:uid="{18D7A630-E560-4D9B-A3A8-4F100FF1A379}"/>
    <cellStyle name="Millares 109 6" xfId="8351" xr:uid="{E44356DB-B75F-4B2C-B323-5F8D1CFBC520}"/>
    <cellStyle name="Millares 11" xfId="172" xr:uid="{2B433418-9833-46A1-AA3F-EF3F95DFD673}"/>
    <cellStyle name="Millares 11 2" xfId="216" xr:uid="{79426E4E-1D8D-477C-AE0F-C80106D11A82}"/>
    <cellStyle name="Millares 11 2 2" xfId="3507" xr:uid="{4746C5D4-27E5-43F2-854D-E916F9B94E86}"/>
    <cellStyle name="Millares 11 2 2 2" xfId="11075" xr:uid="{36D93D50-B699-49FE-B0A6-3CF5331F06F9}"/>
    <cellStyle name="Millares 11 2 3" xfId="8155" xr:uid="{F138B114-C4B8-4E36-A186-7387A965B172}"/>
    <cellStyle name="Millares 11 3" xfId="1078" xr:uid="{EC0ACB9F-FC36-471D-B49B-525EC45AF3D7}"/>
    <cellStyle name="Millares 11 3 2" xfId="4038" xr:uid="{9E11B3BB-6BDE-49EF-A6BC-9206C3110EFD}"/>
    <cellStyle name="Millares 11 3 2 2" xfId="11606" xr:uid="{FFEF9B81-51A9-4236-AA8D-21EC0D903C65}"/>
    <cellStyle name="Millares 11 3 3" xfId="8686" xr:uid="{E5B6B028-488E-405C-B702-66C9DC25F1BA}"/>
    <cellStyle name="Millares 11 4" xfId="1442" xr:uid="{5E6F523E-B04D-4B3F-9E24-D6CCCF6EE861}"/>
    <cellStyle name="Millares 11 4 2" xfId="4402" xr:uid="{B68CAC49-CA31-4403-8FD5-99B590F99F59}"/>
    <cellStyle name="Millares 11 4 2 2" xfId="11970" xr:uid="{31077EC0-906F-4BFD-B57B-1416E298AB60}"/>
    <cellStyle name="Millares 11 4 3" xfId="9050" xr:uid="{27BFD0EE-1AD9-402D-9CB9-DEFC5AC772BD}"/>
    <cellStyle name="Millares 11 5" xfId="1821" xr:uid="{DAE8F3D5-11DA-427F-A3FE-2B3E3D70A7D2}"/>
    <cellStyle name="Millares 11 5 2" xfId="4780" xr:uid="{A758CE66-32F3-43B5-A003-42142F194BD9}"/>
    <cellStyle name="Millares 11 5 2 2" xfId="12348" xr:uid="{5FFF9137-96FD-4D0E-8411-79600171B270}"/>
    <cellStyle name="Millares 11 5 3" xfId="9428" xr:uid="{052461B8-7C0E-4808-ACFB-2DC4F051E29C}"/>
    <cellStyle name="Millares 11 6" xfId="3481" xr:uid="{57FEADE0-1657-4909-AD25-82D589D420AA}"/>
    <cellStyle name="Millares 11 6 2" xfId="11049" xr:uid="{978281C4-8895-4897-8D93-4F5725E9550B}"/>
    <cellStyle name="Millares 11 7" xfId="8129" xr:uid="{D0918FA2-3E2B-4042-8044-968F082707D3}"/>
    <cellStyle name="Millares 110" xfId="514" xr:uid="{88EFD83B-026D-40C9-AAB9-7C3BFAAABC5B}"/>
    <cellStyle name="Millares 110 2" xfId="1276" xr:uid="{D5D9FE22-F2A4-496B-8DFF-30FD3A1B9032}"/>
    <cellStyle name="Millares 110 2 2" xfId="4236" xr:uid="{A50EF194-3D94-4240-8853-BAB82FF3C69F}"/>
    <cellStyle name="Millares 110 2 2 2" xfId="11804" xr:uid="{A3A34BF7-9878-4C5E-BFE9-8EFCE3EB2201}"/>
    <cellStyle name="Millares 110 2 3" xfId="8884" xr:uid="{2DC40D36-FB1E-4A1F-B46F-A5D9C81C663E}"/>
    <cellStyle name="Millares 110 3" xfId="1640" xr:uid="{4D186EFD-C8F8-4F18-9B83-80B57FAE232F}"/>
    <cellStyle name="Millares 110 3 2" xfId="4600" xr:uid="{9ECC6AC7-BFAF-4EFF-8AF2-24AEAF8D6AB3}"/>
    <cellStyle name="Millares 110 3 2 2" xfId="12168" xr:uid="{E4D98304-818C-428B-B1E5-7B6EA1CD0F9B}"/>
    <cellStyle name="Millares 110 3 3" xfId="9248" xr:uid="{CE1412BE-BAB0-450F-9379-0CE4C0DA98B2}"/>
    <cellStyle name="Millares 110 4" xfId="2019" xr:uid="{B9CEDAA3-B316-4068-887A-C9C2CD0ED5CF}"/>
    <cellStyle name="Millares 110 4 2" xfId="4978" xr:uid="{CB7CB097-C2AB-4B26-A79A-78391F65CDA0}"/>
    <cellStyle name="Millares 110 4 2 2" xfId="12546" xr:uid="{FFD8DC62-2E13-4DE3-980E-2AA44A366C7E}"/>
    <cellStyle name="Millares 110 4 3" xfId="9626" xr:uid="{A41A5BCF-50FA-4559-B19D-2D17FD03CBAF}"/>
    <cellStyle name="Millares 110 5" xfId="3705" xr:uid="{3100557A-BECE-4787-B11F-EFF18447E49E}"/>
    <cellStyle name="Millares 110 5 2" xfId="11273" xr:uid="{375969B8-6CEF-405F-80D4-0047BD4158C4}"/>
    <cellStyle name="Millares 110 6" xfId="8353" xr:uid="{88DE12A1-095C-4C55-BB11-CC930A3D37DA}"/>
    <cellStyle name="Millares 111" xfId="517" xr:uid="{F3FF6393-71CF-4D43-8EC1-63EDA00BA84D}"/>
    <cellStyle name="Millares 111 2" xfId="1278" xr:uid="{9E692A3F-C1D7-45E4-AA3A-33554FE85C11}"/>
    <cellStyle name="Millares 111 2 2" xfId="4238" xr:uid="{EF0DECF6-9A01-49C3-94EB-1FF16C9DF7D3}"/>
    <cellStyle name="Millares 111 2 2 2" xfId="11806" xr:uid="{A902DA26-81ED-4558-A895-CE0DE15B1065}"/>
    <cellStyle name="Millares 111 2 3" xfId="8886" xr:uid="{93D7CA92-38D7-45D3-80FB-96EE9402889A}"/>
    <cellStyle name="Millares 111 3" xfId="1642" xr:uid="{8DD50401-2EF3-43D7-BC45-78964DED1495}"/>
    <cellStyle name="Millares 111 3 2" xfId="4602" xr:uid="{4B3EC059-4D84-4B1D-97E3-D8EABD4A7D1D}"/>
    <cellStyle name="Millares 111 3 2 2" xfId="12170" xr:uid="{C22B3866-D533-44DC-B596-8DBA30D4FAA7}"/>
    <cellStyle name="Millares 111 3 3" xfId="9250" xr:uid="{07365533-AEE3-4EF5-A8F7-BF54A7134F52}"/>
    <cellStyle name="Millares 111 4" xfId="2021" xr:uid="{82B76ED5-4DAE-4DFD-9963-F799D9D4470C}"/>
    <cellStyle name="Millares 111 4 2" xfId="4980" xr:uid="{F9D1446E-8865-4B99-932C-3F0B2549015A}"/>
    <cellStyle name="Millares 111 4 2 2" xfId="12548" xr:uid="{CC2AB3E5-FBC7-4DF7-BEEF-B0F785C41668}"/>
    <cellStyle name="Millares 111 4 3" xfId="9628" xr:uid="{D4105CBD-F2CB-45A8-870C-33E16AC807D7}"/>
    <cellStyle name="Millares 111 5" xfId="3707" xr:uid="{DCFD66C6-FA8A-4866-AE6B-BB9D9AFE2342}"/>
    <cellStyle name="Millares 111 5 2" xfId="11275" xr:uid="{78E41B30-8019-4391-88F4-E2F7DC08C60C}"/>
    <cellStyle name="Millares 111 6" xfId="8355" xr:uid="{695D6126-44B7-44CE-BF59-EAE6BAE70C41}"/>
    <cellStyle name="Millares 112" xfId="520" xr:uid="{5D7D2E94-674A-4423-8B50-573915563D84}"/>
    <cellStyle name="Millares 112 2" xfId="1280" xr:uid="{C4A3E614-35AA-4AFF-898D-34CF52CD392E}"/>
    <cellStyle name="Millares 112 2 2" xfId="4240" xr:uid="{77408A69-0FFB-4CE8-A19C-5BB7DA3107BD}"/>
    <cellStyle name="Millares 112 2 2 2" xfId="11808" xr:uid="{A4AC198E-9B4A-4DA5-9B6B-31E5E80BDCCD}"/>
    <cellStyle name="Millares 112 2 3" xfId="8888" xr:uid="{297292FD-72FE-43F6-8BFD-892DC226D075}"/>
    <cellStyle name="Millares 112 3" xfId="1644" xr:uid="{40F344F5-AF75-4684-B18C-02B18239CAE9}"/>
    <cellStyle name="Millares 112 3 2" xfId="4604" xr:uid="{82581EB4-63B8-4F3C-91E7-F263CDE78A89}"/>
    <cellStyle name="Millares 112 3 2 2" xfId="12172" xr:uid="{3F7CBFB9-A471-46ED-BE50-C529EB083DA1}"/>
    <cellStyle name="Millares 112 3 3" xfId="9252" xr:uid="{0EA3C14C-AE0D-41B5-8248-D90A875D7800}"/>
    <cellStyle name="Millares 112 4" xfId="2023" xr:uid="{FC6A30D7-4D52-431C-BCA0-8CB2629BEA2C}"/>
    <cellStyle name="Millares 112 4 2" xfId="4982" xr:uid="{C9CE0929-DE93-4DDF-9876-72BBBE9E4360}"/>
    <cellStyle name="Millares 112 4 2 2" xfId="12550" xr:uid="{FA114F85-9673-4C83-81B6-5FC9414D6348}"/>
    <cellStyle name="Millares 112 4 3" xfId="9630" xr:uid="{A904720C-96C0-4AD4-BE1E-683AE4ACF3AE}"/>
    <cellStyle name="Millares 112 5" xfId="3709" xr:uid="{EA89CF51-158F-4F1A-A18D-E8E74C26FED1}"/>
    <cellStyle name="Millares 112 5 2" xfId="11277" xr:uid="{5A3A13EB-AD96-46F6-A789-734058204CAF}"/>
    <cellStyle name="Millares 112 6" xfId="8357" xr:uid="{12D07671-E22B-487D-A61E-C45D1BEF279F}"/>
    <cellStyle name="Millares 113" xfId="523" xr:uid="{BC19EEA7-A23C-4D77-BF45-CE4FDED166CA}"/>
    <cellStyle name="Millares 113 2" xfId="1282" xr:uid="{BB36CEAE-333D-4DD8-9E9B-544301BD034B}"/>
    <cellStyle name="Millares 113 2 2" xfId="4242" xr:uid="{408CEF40-6B77-4C43-9879-3EBDB2EC544F}"/>
    <cellStyle name="Millares 113 2 2 2" xfId="11810" xr:uid="{9F5E86EE-7E51-47E2-B83F-4401AF52CEF4}"/>
    <cellStyle name="Millares 113 2 3" xfId="8890" xr:uid="{44DE5ED4-A142-4BD6-90C3-ADD5FADD56D0}"/>
    <cellStyle name="Millares 113 3" xfId="1646" xr:uid="{A84DCC0A-A582-4F8B-A8D7-6A3FA17A2518}"/>
    <cellStyle name="Millares 113 3 2" xfId="4606" xr:uid="{80428F44-1BFE-4574-8E9E-9E7652E35C05}"/>
    <cellStyle name="Millares 113 3 2 2" xfId="12174" xr:uid="{E55B30FD-1B9B-4999-BBDE-16A719FC1B9A}"/>
    <cellStyle name="Millares 113 3 3" xfId="9254" xr:uid="{E9A81ABB-BF6C-42DC-A966-79327F3A000E}"/>
    <cellStyle name="Millares 113 4" xfId="2025" xr:uid="{B5219FCE-6141-4421-AF6C-0551B3E45280}"/>
    <cellStyle name="Millares 113 4 2" xfId="4984" xr:uid="{E7ACBC66-D291-4DBB-A3F6-220764667986}"/>
    <cellStyle name="Millares 113 4 2 2" xfId="12552" xr:uid="{C6DD5AF5-FCFB-479F-8DFF-4ABA7EB26126}"/>
    <cellStyle name="Millares 113 4 3" xfId="9632" xr:uid="{2479DD0E-BB04-4875-A443-3C6EBA126854}"/>
    <cellStyle name="Millares 113 5" xfId="3711" xr:uid="{A51A3E92-A4A1-4825-93DC-80243471708F}"/>
    <cellStyle name="Millares 113 5 2" xfId="11279" xr:uid="{28F4B35E-D7FD-4635-BD95-BCD5FA57873A}"/>
    <cellStyle name="Millares 113 6" xfId="8359" xr:uid="{349E5CBA-D096-4A95-823E-FC5FF4D4BCB4}"/>
    <cellStyle name="Millares 114" xfId="526" xr:uid="{D52F9420-E450-4236-8A92-76ECF02DAEE5}"/>
    <cellStyle name="Millares 114 2" xfId="1284" xr:uid="{E6ACEA7C-ABED-4393-B548-D03C7A8E4030}"/>
    <cellStyle name="Millares 114 2 2" xfId="4244" xr:uid="{1D621CDA-3EF0-4157-9CBD-E2C47A16C133}"/>
    <cellStyle name="Millares 114 2 2 2" xfId="11812" xr:uid="{6DAA7B08-E4EC-49BC-9135-F9768E301A36}"/>
    <cellStyle name="Millares 114 2 3" xfId="8892" xr:uid="{15978728-1230-4740-B755-F80A6539309F}"/>
    <cellStyle name="Millares 114 3" xfId="1648" xr:uid="{CFD9169A-ED2C-4405-98AB-F0592FBA4992}"/>
    <cellStyle name="Millares 114 3 2" xfId="4608" xr:uid="{AE5001B3-5EAC-47FB-A9DC-BBB5308F889D}"/>
    <cellStyle name="Millares 114 3 2 2" xfId="12176" xr:uid="{78789C8E-BCC4-4912-8EF3-29D06B8AAA49}"/>
    <cellStyle name="Millares 114 3 3" xfId="9256" xr:uid="{C23D1DF6-9397-4CD1-ADB0-4694182860F2}"/>
    <cellStyle name="Millares 114 4" xfId="2027" xr:uid="{37353B5A-9CC7-4815-8039-E211B4A45115}"/>
    <cellStyle name="Millares 114 4 2" xfId="4986" xr:uid="{C3A0171C-8FE2-4EA5-9DC4-1B61113F88C7}"/>
    <cellStyle name="Millares 114 4 2 2" xfId="12554" xr:uid="{085829A9-4882-46A9-9437-28E62A88A9C4}"/>
    <cellStyle name="Millares 114 4 3" xfId="9634" xr:uid="{B66C1B70-E3E4-47F0-836E-FA6452FA5CA1}"/>
    <cellStyle name="Millares 114 5" xfId="3713" xr:uid="{EFF1B61A-A9DE-439D-89BC-E26F6C970563}"/>
    <cellStyle name="Millares 114 5 2" xfId="11281" xr:uid="{141A4A2A-6564-48C8-9B89-AD003DA5932C}"/>
    <cellStyle name="Millares 114 6" xfId="8361" xr:uid="{B3020D84-8851-494F-BAB4-AFA6102E42F2}"/>
    <cellStyle name="Millares 115" xfId="529" xr:uid="{38FFDFE8-7499-4936-B81B-1C5AFC98A9A2}"/>
    <cellStyle name="Millares 115 2" xfId="1286" xr:uid="{8CEC78F1-01B1-4643-B5DE-E08CBD722BC3}"/>
    <cellStyle name="Millares 115 2 2" xfId="4246" xr:uid="{10942A4F-F0B8-49E0-84F7-A560357F9271}"/>
    <cellStyle name="Millares 115 2 2 2" xfId="11814" xr:uid="{DA562094-4E28-442D-9045-28795F48D835}"/>
    <cellStyle name="Millares 115 2 3" xfId="8894" xr:uid="{21CC0D46-5E09-4859-9900-59E049181786}"/>
    <cellStyle name="Millares 115 3" xfId="1650" xr:uid="{680664B9-AD66-48B0-B588-61A1440FC510}"/>
    <cellStyle name="Millares 115 3 2" xfId="4610" xr:uid="{ABC5529A-293F-45F8-BE01-F233730295B9}"/>
    <cellStyle name="Millares 115 3 2 2" xfId="12178" xr:uid="{74F5A2DB-8DD1-4A06-99D2-202DDF4062A2}"/>
    <cellStyle name="Millares 115 3 3" xfId="9258" xr:uid="{6448C2E5-1357-40C4-9718-9874810B1B64}"/>
    <cellStyle name="Millares 115 4" xfId="2029" xr:uid="{ADB66A6F-0106-45D0-BE6F-94FCC5214BDE}"/>
    <cellStyle name="Millares 115 4 2" xfId="4988" xr:uid="{21E68A87-08F8-4DBD-8950-D76318FBAC74}"/>
    <cellStyle name="Millares 115 4 2 2" xfId="12556" xr:uid="{7B5BD6BE-1C65-4CEC-8030-1B3DC90757B0}"/>
    <cellStyle name="Millares 115 4 3" xfId="9636" xr:uid="{5C2EE271-AF52-4B68-9ABE-152F933E33BA}"/>
    <cellStyle name="Millares 115 5" xfId="3715" xr:uid="{704CAC74-4DDC-4D48-8C9C-59E3A74CFD64}"/>
    <cellStyle name="Millares 115 5 2" xfId="11283" xr:uid="{D5E18A2F-AB65-4717-B2BC-E3E85EB6349B}"/>
    <cellStyle name="Millares 115 6" xfId="8363" xr:uid="{E258DF34-9241-4583-A3D4-75CC89535256}"/>
    <cellStyle name="Millares 116" xfId="532" xr:uid="{A1625594-C6A0-46F9-AD8E-1061CF75A9E7}"/>
    <cellStyle name="Millares 116 2" xfId="1288" xr:uid="{A66A8A7A-1633-4460-974B-C15096704702}"/>
    <cellStyle name="Millares 116 2 2" xfId="4248" xr:uid="{BF447B87-A559-4E5D-9E7C-B76B106E7FD3}"/>
    <cellStyle name="Millares 116 2 2 2" xfId="11816" xr:uid="{6A70C03C-B9EE-4271-9572-DE996F28103C}"/>
    <cellStyle name="Millares 116 2 3" xfId="8896" xr:uid="{DF508EC5-CC91-4A07-9001-E08E3CE4E4A3}"/>
    <cellStyle name="Millares 116 3" xfId="1652" xr:uid="{256EB58C-9AB9-4D91-9BF5-350329899753}"/>
    <cellStyle name="Millares 116 3 2" xfId="4612" xr:uid="{9B17A660-6C00-4CF9-B154-13423607525B}"/>
    <cellStyle name="Millares 116 3 2 2" xfId="12180" xr:uid="{458F7EA0-7ECE-40D7-8F18-831B4F1AF561}"/>
    <cellStyle name="Millares 116 3 3" xfId="9260" xr:uid="{3B1052A7-96A6-4796-AF9C-F5633DB6D441}"/>
    <cellStyle name="Millares 116 4" xfId="2031" xr:uid="{27980A29-C0DF-4FA2-9F7F-397769B1D4AD}"/>
    <cellStyle name="Millares 116 4 2" xfId="4990" xr:uid="{2A3F6582-2E23-4D48-99C5-953AFAA56B3D}"/>
    <cellStyle name="Millares 116 4 2 2" xfId="12558" xr:uid="{1EC6C099-8BDC-4FE1-9260-15F8768CF9DD}"/>
    <cellStyle name="Millares 116 4 3" xfId="9638" xr:uid="{3C407C53-CF81-4FBE-BF7B-C4D601C24D33}"/>
    <cellStyle name="Millares 116 5" xfId="3717" xr:uid="{60F85958-28D5-4E28-ADAC-C7CF27D4E881}"/>
    <cellStyle name="Millares 116 5 2" xfId="11285" xr:uid="{A61857AE-8F39-4AD8-AA2C-D0567D494007}"/>
    <cellStyle name="Millares 116 6" xfId="8365" xr:uid="{2574D438-AAFB-40BB-A466-A6F7CA3CA037}"/>
    <cellStyle name="Millares 117" xfId="535" xr:uid="{5C42DA40-AE0F-4242-9DBD-43645BEC351B}"/>
    <cellStyle name="Millares 117 2" xfId="1290" xr:uid="{54A277CE-A375-476E-AB0A-B29029EED846}"/>
    <cellStyle name="Millares 117 2 2" xfId="4250" xr:uid="{A89ED7C4-8D48-434F-A135-E3F124E1218B}"/>
    <cellStyle name="Millares 117 2 2 2" xfId="11818" xr:uid="{44C6CB72-FC8D-4C2E-B0AF-2A1155C2658A}"/>
    <cellStyle name="Millares 117 2 3" xfId="8898" xr:uid="{14D5CA39-8EC3-444D-927A-DBCC7804A062}"/>
    <cellStyle name="Millares 117 3" xfId="1654" xr:uid="{096BF6FB-7D60-4145-9C38-5D2BFDB04FE5}"/>
    <cellStyle name="Millares 117 3 2" xfId="4614" xr:uid="{207C25F3-8E81-4181-A607-9D5ACF52C7AD}"/>
    <cellStyle name="Millares 117 3 2 2" xfId="12182" xr:uid="{591A1E1C-EAA8-4DB6-8C50-B87331C33095}"/>
    <cellStyle name="Millares 117 3 3" xfId="9262" xr:uid="{2F84E15E-8477-4911-9A59-12EE0E54469E}"/>
    <cellStyle name="Millares 117 4" xfId="2033" xr:uid="{B68E398F-0613-469C-ADE6-12F0813C60CF}"/>
    <cellStyle name="Millares 117 4 2" xfId="4992" xr:uid="{B22D204A-D109-4D69-98E2-D54A2D38DD2A}"/>
    <cellStyle name="Millares 117 4 2 2" xfId="12560" xr:uid="{DE022ED8-F9C3-4068-B3A7-D596D333869D}"/>
    <cellStyle name="Millares 117 4 3" xfId="9640" xr:uid="{B5CF9947-A5B9-417F-B370-72403E3ED733}"/>
    <cellStyle name="Millares 117 5" xfId="3719" xr:uid="{45D65FFB-A2D9-446F-8916-FA07CCBF70B0}"/>
    <cellStyle name="Millares 117 5 2" xfId="11287" xr:uid="{746BB559-81A2-4E3E-B5F1-219AF6DBA703}"/>
    <cellStyle name="Millares 117 6" xfId="8367" xr:uid="{007544EC-ACEF-4BE4-AD4E-C32379A1DE79}"/>
    <cellStyle name="Millares 118" xfId="538" xr:uid="{10F13542-6253-4530-901E-F0F27119B143}"/>
    <cellStyle name="Millares 118 2" xfId="1292" xr:uid="{3D8245D9-AA04-422D-B377-DE9C9940BE96}"/>
    <cellStyle name="Millares 118 2 2" xfId="4252" xr:uid="{9612E8D6-92DD-4715-8419-159A9089CDED}"/>
    <cellStyle name="Millares 118 2 2 2" xfId="11820" xr:uid="{273FB484-6DD1-4C0D-909B-E698D06C5643}"/>
    <cellStyle name="Millares 118 2 3" xfId="8900" xr:uid="{AAA0AD2A-49B0-43EE-AB13-B68414A066B0}"/>
    <cellStyle name="Millares 118 3" xfId="1656" xr:uid="{91567481-B388-4B89-BFB0-D33BADB5FB2F}"/>
    <cellStyle name="Millares 118 3 2" xfId="4616" xr:uid="{F504127C-DE76-4183-BA31-0D6FBDB658F1}"/>
    <cellStyle name="Millares 118 3 2 2" xfId="12184" xr:uid="{3BA1DF35-EDC8-46BB-B3D0-40A8DE989523}"/>
    <cellStyle name="Millares 118 3 3" xfId="9264" xr:uid="{7B9C7D32-0ADA-43AD-9A2F-E81215D938B2}"/>
    <cellStyle name="Millares 118 4" xfId="2035" xr:uid="{13A45861-DBAE-43A9-AFEF-354EA7F29E0D}"/>
    <cellStyle name="Millares 118 4 2" xfId="4994" xr:uid="{3FDA929B-4849-4727-A19C-DDB06CF7549F}"/>
    <cellStyle name="Millares 118 4 2 2" xfId="12562" xr:uid="{E9B0BEC6-6565-4F57-B1E2-E7E42A86A8F5}"/>
    <cellStyle name="Millares 118 4 3" xfId="9642" xr:uid="{E39569FD-B74F-4D12-B20B-751A38B9D8F4}"/>
    <cellStyle name="Millares 118 5" xfId="3721" xr:uid="{ED8ED10B-66FD-4836-984B-F3E53B479DFA}"/>
    <cellStyle name="Millares 118 5 2" xfId="11289" xr:uid="{473D95C8-33D1-4E65-A1B1-D11645E6199C}"/>
    <cellStyle name="Millares 118 6" xfId="8369" xr:uid="{24CE6D00-FDF7-426E-B8CB-0F2800355852}"/>
    <cellStyle name="Millares 119" xfId="541" xr:uid="{B948A265-D316-4162-BE2C-DCF28E2DF00F}"/>
    <cellStyle name="Millares 119 2" xfId="1294" xr:uid="{BE73D6D1-4847-41FC-8FA6-8CA93673F3D8}"/>
    <cellStyle name="Millares 119 2 2" xfId="4254" xr:uid="{37491540-CAEB-4705-87EF-7AA04920E3B8}"/>
    <cellStyle name="Millares 119 2 2 2" xfId="11822" xr:uid="{E546C6E2-247C-42FF-A4A8-CEDC3CAC0B24}"/>
    <cellStyle name="Millares 119 2 3" xfId="8902" xr:uid="{A665AEC6-6BD9-400B-B233-A30947D07F2B}"/>
    <cellStyle name="Millares 119 3" xfId="1658" xr:uid="{839A85E7-9220-4D83-BE58-B1CAD6AAACE4}"/>
    <cellStyle name="Millares 119 3 2" xfId="4618" xr:uid="{E0523323-07B1-47FC-9646-35FADD24B252}"/>
    <cellStyle name="Millares 119 3 2 2" xfId="12186" xr:uid="{DBB33669-AE4A-452B-9214-CE7E273D0091}"/>
    <cellStyle name="Millares 119 3 3" xfId="9266" xr:uid="{FD7140BE-417E-4E7E-BF04-F5FF3AB04F5F}"/>
    <cellStyle name="Millares 119 4" xfId="2037" xr:uid="{8731E107-C06A-4064-9B8C-A1D7483E5711}"/>
    <cellStyle name="Millares 119 4 2" xfId="4996" xr:uid="{46E9C68A-6B4C-4041-9489-88E184DA1BCE}"/>
    <cellStyle name="Millares 119 4 2 2" xfId="12564" xr:uid="{F819B20A-D026-45CF-8B02-F250F4907026}"/>
    <cellStyle name="Millares 119 4 3" xfId="9644" xr:uid="{34BF61CE-5AA0-4B2A-A50D-DACDDD3A0573}"/>
    <cellStyle name="Millares 119 5" xfId="3723" xr:uid="{9949763F-B9CF-4312-A7AA-BABADDBE3200}"/>
    <cellStyle name="Millares 119 5 2" xfId="11291" xr:uid="{5A6CAAE2-ECA3-49D4-AB2B-D8F7FC654DD9}"/>
    <cellStyle name="Millares 119 6" xfId="8371" xr:uid="{538E9009-1316-476D-8AE1-854779933757}"/>
    <cellStyle name="Millares 12" xfId="173" xr:uid="{B7E97296-E6B4-4126-BF2E-27060D45F97D}"/>
    <cellStyle name="Millares 12 2" xfId="219" xr:uid="{16756E0A-5903-4FFD-BAD7-83FA885E40DE}"/>
    <cellStyle name="Millares 12 2 2" xfId="3509" xr:uid="{47E27AAC-82F6-4B7C-A3A6-DDDD7DEBF0E8}"/>
    <cellStyle name="Millares 12 2 2 2" xfId="11077" xr:uid="{DB57F319-E1CC-49D8-B2FD-AF198A63A9A8}"/>
    <cellStyle name="Millares 12 2 3" xfId="8157" xr:uid="{14C4AEC2-0FD0-429C-989E-FF332A0436CA}"/>
    <cellStyle name="Millares 12 3" xfId="938" xr:uid="{B56275D6-D016-492D-9E5D-CB8B3789A716}"/>
    <cellStyle name="Millares 12 3 2" xfId="3980" xr:uid="{B91E356F-944B-4291-9C85-4DD2C28E5A99}"/>
    <cellStyle name="Millares 12 3 2 2" xfId="11548" xr:uid="{E900AB4F-D2B0-437F-AB65-223F1482304A}"/>
    <cellStyle name="Millares 12 3 3" xfId="8628" xr:uid="{BC21DFE6-F8BE-41FD-9A47-D36949037FF7}"/>
    <cellStyle name="Millares 12 4" xfId="1080" xr:uid="{A66B5B25-90C8-496C-BBA0-A03B76FE8419}"/>
    <cellStyle name="Millares 12 4 2" xfId="4040" xr:uid="{E8525596-D2F6-4621-8B6D-2A909134523D}"/>
    <cellStyle name="Millares 12 4 2 2" xfId="11608" xr:uid="{C380E82C-14EB-40D1-A42F-B380DC73D225}"/>
    <cellStyle name="Millares 12 4 3" xfId="8688" xr:uid="{1C7F16C1-21C8-4BDA-A55C-7AACDA3F5E04}"/>
    <cellStyle name="Millares 12 5" xfId="1444" xr:uid="{69224619-CD13-4B7A-98C7-125F62E5816A}"/>
    <cellStyle name="Millares 12 5 2" xfId="4404" xr:uid="{917D64B6-0E8D-44F7-BF70-D935D14E64C0}"/>
    <cellStyle name="Millares 12 5 2 2" xfId="11972" xr:uid="{18FE4972-D69B-4E50-B94E-EFB5C2B768A9}"/>
    <cellStyle name="Millares 12 5 3" xfId="9052" xr:uid="{F31E0799-77D5-49A5-9EB1-EA6B8745A930}"/>
    <cellStyle name="Millares 12 6" xfId="1823" xr:uid="{BC5CFC79-2889-4CCA-8CAE-FB5E2953DBAF}"/>
    <cellStyle name="Millares 12 6 2" xfId="4782" xr:uid="{23CFC6EE-2171-4666-8AA5-77BA07B12ED5}"/>
    <cellStyle name="Millares 12 6 2 2" xfId="12350" xr:uid="{4F491841-5821-4776-9F41-70B09E57A6A3}"/>
    <cellStyle name="Millares 12 6 3" xfId="9430" xr:uid="{2DECCA1A-0124-49C8-B9FC-CA24B35E1573}"/>
    <cellStyle name="Millares 12 7" xfId="3482" xr:uid="{87B739DC-A58B-4D42-8DBB-78573F1CEA67}"/>
    <cellStyle name="Millares 12 7 2" xfId="11050" xr:uid="{E5AE6025-27AF-4471-8925-DCA72F2F7855}"/>
    <cellStyle name="Millares 12 8" xfId="8130" xr:uid="{7CD8A2E4-2BC1-4D3D-9D13-44855438DD8A}"/>
    <cellStyle name="Millares 120" xfId="544" xr:uid="{DA3636F4-98EF-4BE3-A14D-2D244528FEDC}"/>
    <cellStyle name="Millares 120 2" xfId="1296" xr:uid="{A1D2E6D9-0F5F-41CC-A59A-E2376CA7254D}"/>
    <cellStyle name="Millares 120 2 2" xfId="4256" xr:uid="{2F8322FF-82B2-4AAE-AC87-E9B5211F0BE5}"/>
    <cellStyle name="Millares 120 2 2 2" xfId="11824" xr:uid="{D1461A15-7B3F-470A-9005-CB3FD0C1F93C}"/>
    <cellStyle name="Millares 120 2 3" xfId="8904" xr:uid="{CD623824-3454-43CC-98EC-8A87CF6D5B0E}"/>
    <cellStyle name="Millares 120 3" xfId="1660" xr:uid="{DF7AF86D-A164-4C8B-8BAC-F9DF5EE16BB0}"/>
    <cellStyle name="Millares 120 3 2" xfId="4620" xr:uid="{9A3A0E2F-08A9-4144-9B46-03DCF1651911}"/>
    <cellStyle name="Millares 120 3 2 2" xfId="12188" xr:uid="{8E495748-91A3-499A-B729-A5C276298FFD}"/>
    <cellStyle name="Millares 120 3 3" xfId="9268" xr:uid="{A6B1C007-24BD-4683-B250-919953CE1637}"/>
    <cellStyle name="Millares 120 4" xfId="2039" xr:uid="{FAFE0FD7-FE2A-4B11-ACD9-0B08FCE0E01A}"/>
    <cellStyle name="Millares 120 4 2" xfId="4998" xr:uid="{228109CA-0F1E-4F6D-8733-85E490C976AA}"/>
    <cellStyle name="Millares 120 4 2 2" xfId="12566" xr:uid="{85FF80EB-1C1F-439B-9659-4E2B985427C6}"/>
    <cellStyle name="Millares 120 4 3" xfId="9646" xr:uid="{A1F9356E-A387-4860-8D6F-9A62914634CF}"/>
    <cellStyle name="Millares 120 5" xfId="3725" xr:uid="{CC56B892-2094-4BC4-9A70-BC1C412E1636}"/>
    <cellStyle name="Millares 120 5 2" xfId="11293" xr:uid="{58B17C56-0A70-4E00-9E98-49B9102512C1}"/>
    <cellStyle name="Millares 120 6" xfId="8373" xr:uid="{A7F058A3-E1A5-46CC-83B1-F814A0D4103F}"/>
    <cellStyle name="Millares 121" xfId="547" xr:uid="{9F9B716C-80DE-4E16-8E6E-63B3F190C2CE}"/>
    <cellStyle name="Millares 121 2" xfId="1298" xr:uid="{580D58DC-1BA0-4BEA-B6F8-E2CEA07375EB}"/>
    <cellStyle name="Millares 121 2 2" xfId="4258" xr:uid="{A2B7E1CC-57F5-4907-B9B8-8395D271991F}"/>
    <cellStyle name="Millares 121 2 2 2" xfId="11826" xr:uid="{5F5D3160-3D11-45D7-8437-E75B18F0A388}"/>
    <cellStyle name="Millares 121 2 3" xfId="8906" xr:uid="{E4A9A83D-9982-4DDB-837D-8A8D63DC0CA5}"/>
    <cellStyle name="Millares 121 3" xfId="1662" xr:uid="{85D19680-800E-44D6-879B-752DC8042C19}"/>
    <cellStyle name="Millares 121 3 2" xfId="4622" xr:uid="{651ED69D-B1A9-45D3-96C3-CB3DD43410CF}"/>
    <cellStyle name="Millares 121 3 2 2" xfId="12190" xr:uid="{AFA26F92-260F-4D10-B8F0-63B139E16CBD}"/>
    <cellStyle name="Millares 121 3 3" xfId="9270" xr:uid="{8E077707-C11D-45A5-A183-1062B9327260}"/>
    <cellStyle name="Millares 121 4" xfId="2041" xr:uid="{49A20197-D20F-4159-BAC5-1E0184B99193}"/>
    <cellStyle name="Millares 121 4 2" xfId="5000" xr:uid="{CD182F8A-71F6-433B-82E1-E3F8975B49BB}"/>
    <cellStyle name="Millares 121 4 2 2" xfId="12568" xr:uid="{E26D5B5B-C602-4FC6-8C07-906F37860A64}"/>
    <cellStyle name="Millares 121 4 3" xfId="9648" xr:uid="{9E9B6CAC-6C12-4828-A089-66B5CB8246D9}"/>
    <cellStyle name="Millares 121 5" xfId="3727" xr:uid="{9FD5BF2A-97C9-478E-AD3E-B0FC93571661}"/>
    <cellStyle name="Millares 121 5 2" xfId="11295" xr:uid="{544BCDEC-46B1-404F-9827-BE79274B92B4}"/>
    <cellStyle name="Millares 121 6" xfId="8375" xr:uid="{B6BC5726-DEAF-4806-A40F-2B1000822EE6}"/>
    <cellStyle name="Millares 122" xfId="550" xr:uid="{05BBA7D5-2A23-4945-AE66-11E189BFA169}"/>
    <cellStyle name="Millares 122 2" xfId="1300" xr:uid="{29F13147-6A80-4AA6-8B85-8DE686D8B689}"/>
    <cellStyle name="Millares 122 2 2" xfId="4260" xr:uid="{326B6C08-2D3A-4B67-85D4-323B16388577}"/>
    <cellStyle name="Millares 122 2 2 2" xfId="11828" xr:uid="{A673372D-7A86-4967-BF0D-1DFC77B50E27}"/>
    <cellStyle name="Millares 122 2 3" xfId="8908" xr:uid="{3A3B6697-4798-4C4B-9291-15839787CAA2}"/>
    <cellStyle name="Millares 122 3" xfId="1664" xr:uid="{D867811B-FFB5-49CD-B3A2-FBCAB581C280}"/>
    <cellStyle name="Millares 122 3 2" xfId="4624" xr:uid="{AB28B3B0-3023-4B01-A9DE-1601525DB59C}"/>
    <cellStyle name="Millares 122 3 2 2" xfId="12192" xr:uid="{7646217D-05C3-44EE-9E6E-DAAB84721B7E}"/>
    <cellStyle name="Millares 122 3 3" xfId="9272" xr:uid="{352EEF19-2BC5-4D0D-9404-D21A5AFD1E3D}"/>
    <cellStyle name="Millares 122 4" xfId="2043" xr:uid="{8DD50D75-4D02-42F8-9F34-46B4275DDAD4}"/>
    <cellStyle name="Millares 122 4 2" xfId="5002" xr:uid="{C9C007F2-DBF2-465B-B2ED-FA81780D507F}"/>
    <cellStyle name="Millares 122 4 2 2" xfId="12570" xr:uid="{D5A10AC4-BF37-4303-BA15-529F85193C76}"/>
    <cellStyle name="Millares 122 4 3" xfId="9650" xr:uid="{22321947-5273-4553-81B5-23089A9D43ED}"/>
    <cellStyle name="Millares 122 5" xfId="3729" xr:uid="{1B490231-BFF1-4D8F-9452-FF0E3F3AE338}"/>
    <cellStyle name="Millares 122 5 2" xfId="11297" xr:uid="{E92348D3-B274-42EF-B8ED-8EC498C97E3B}"/>
    <cellStyle name="Millares 122 6" xfId="8377" xr:uid="{693238C3-F57D-4384-8F4B-B24C4E7E777F}"/>
    <cellStyle name="Millares 123" xfId="553" xr:uid="{008779C8-028B-42E6-9D2E-6CE2251B578A}"/>
    <cellStyle name="Millares 123 2" xfId="1302" xr:uid="{49607E06-0CCD-43F5-83F9-CEA6F123C9E8}"/>
    <cellStyle name="Millares 123 2 2" xfId="4262" xr:uid="{886806B0-1136-4ED8-97A2-E1AF8BFBE956}"/>
    <cellStyle name="Millares 123 2 2 2" xfId="11830" xr:uid="{6F836A34-0696-4B7F-B6DE-881730D0416E}"/>
    <cellStyle name="Millares 123 2 3" xfId="8910" xr:uid="{D3337F6D-43F7-47AF-BD7C-55EBB338CD69}"/>
    <cellStyle name="Millares 123 3" xfId="1666" xr:uid="{D86C8686-42D9-46AF-A25D-07AE08E946F5}"/>
    <cellStyle name="Millares 123 3 2" xfId="4626" xr:uid="{22BF97F1-AB31-4A98-8E2E-21A6D28C1240}"/>
    <cellStyle name="Millares 123 3 2 2" xfId="12194" xr:uid="{32AE8199-8AA3-46E0-93AB-D414A599E20A}"/>
    <cellStyle name="Millares 123 3 3" xfId="9274" xr:uid="{34C11B7F-19C7-4D9F-BFB4-BE41F1EEB331}"/>
    <cellStyle name="Millares 123 4" xfId="2045" xr:uid="{606430D9-1ABB-4D33-A7FE-CB3EF7460084}"/>
    <cellStyle name="Millares 123 4 2" xfId="5004" xr:uid="{CEB840FB-2784-42EE-93F2-BACDF6947AE5}"/>
    <cellStyle name="Millares 123 4 2 2" xfId="12572" xr:uid="{CF4E5926-7511-4E03-A6A7-E79AFF11377E}"/>
    <cellStyle name="Millares 123 4 3" xfId="9652" xr:uid="{E08FC180-2E79-46F5-902C-463DCA43288C}"/>
    <cellStyle name="Millares 123 5" xfId="3731" xr:uid="{FEE617C1-C2C9-4CC4-85FF-4E4B759AA0EA}"/>
    <cellStyle name="Millares 123 5 2" xfId="11299" xr:uid="{1934D9BD-9DEC-44C2-A838-C07FDBA163D4}"/>
    <cellStyle name="Millares 123 6" xfId="8379" xr:uid="{9AAC47E7-3FC3-4210-85F1-E29FFAE3A78F}"/>
    <cellStyle name="Millares 124" xfId="556" xr:uid="{CAFCBF9F-8E43-44E6-B636-C9E31E8E0FB6}"/>
    <cellStyle name="Millares 124 2" xfId="1304" xr:uid="{023F0566-814D-4CB2-89FE-9F86FEDA2955}"/>
    <cellStyle name="Millares 124 2 2" xfId="4264" xr:uid="{69177653-1A3D-4E29-A427-9894033C9B4A}"/>
    <cellStyle name="Millares 124 2 2 2" xfId="11832" xr:uid="{28104EE0-C1C4-49FC-A0BE-FB03CBFB3C62}"/>
    <cellStyle name="Millares 124 2 3" xfId="8912" xr:uid="{26716289-7780-4060-9C62-9BF80C905419}"/>
    <cellStyle name="Millares 124 3" xfId="1668" xr:uid="{8673177D-84DB-420E-B874-B84270C56896}"/>
    <cellStyle name="Millares 124 3 2" xfId="4628" xr:uid="{EB7DAD58-4B0B-46B4-8C50-47B489D53D6D}"/>
    <cellStyle name="Millares 124 3 2 2" xfId="12196" xr:uid="{56701BDE-DB45-43C3-9262-3B4A0C014618}"/>
    <cellStyle name="Millares 124 3 3" xfId="9276" xr:uid="{FE875448-C2E6-4D29-8678-61AF54719E8A}"/>
    <cellStyle name="Millares 124 4" xfId="2047" xr:uid="{2F17DA31-7D91-4FE8-821D-8B3679F6AD71}"/>
    <cellStyle name="Millares 124 4 2" xfId="5006" xr:uid="{14E74106-B92C-49E9-8B8B-DC4DDA9BE252}"/>
    <cellStyle name="Millares 124 4 2 2" xfId="12574" xr:uid="{58202407-94BE-4C60-8345-6D5E126F33A2}"/>
    <cellStyle name="Millares 124 4 3" xfId="9654" xr:uid="{DE1F2CEF-298C-4D04-A3DF-8AD4ED13C180}"/>
    <cellStyle name="Millares 124 5" xfId="3733" xr:uid="{314D7120-0626-4E7A-9837-6C5409EA4BDE}"/>
    <cellStyle name="Millares 124 5 2" xfId="11301" xr:uid="{D80C7BF6-0451-4634-91FB-8FFB72DE1379}"/>
    <cellStyle name="Millares 124 6" xfId="8381" xr:uid="{41F68D7A-91AE-441F-BE43-4B33F7D0B958}"/>
    <cellStyle name="Millares 125" xfId="559" xr:uid="{89F28236-A263-4977-97A3-BA16AE3425DB}"/>
    <cellStyle name="Millares 125 2" xfId="1306" xr:uid="{AA589E7A-79F9-423C-8FC3-AAFC157F51A5}"/>
    <cellStyle name="Millares 125 2 2" xfId="4266" xr:uid="{473F42D8-F738-4B21-AFEC-3CBCB565935F}"/>
    <cellStyle name="Millares 125 2 2 2" xfId="11834" xr:uid="{8C38D30E-6F07-47B4-AADC-586A433DD6F6}"/>
    <cellStyle name="Millares 125 2 3" xfId="8914" xr:uid="{A2358C01-5785-4E3B-991C-65936CD2AFEF}"/>
    <cellStyle name="Millares 125 3" xfId="1670" xr:uid="{30D549D5-8111-420B-A713-C02CD688F26E}"/>
    <cellStyle name="Millares 125 3 2" xfId="4630" xr:uid="{47D53570-E44F-4E2D-BFB7-48627843BD81}"/>
    <cellStyle name="Millares 125 3 2 2" xfId="12198" xr:uid="{96FBF628-8C51-4612-B6BA-981731E6E45D}"/>
    <cellStyle name="Millares 125 3 3" xfId="9278" xr:uid="{67EAA04B-ED99-475D-91F2-9153773C2EF6}"/>
    <cellStyle name="Millares 125 4" xfId="2049" xr:uid="{5CE76651-4622-43CE-8D44-E3193317A789}"/>
    <cellStyle name="Millares 125 4 2" xfId="5008" xr:uid="{D8C2A958-AF62-4F99-8DA6-4AC2569A3796}"/>
    <cellStyle name="Millares 125 4 2 2" xfId="12576" xr:uid="{D9E832DF-E96B-43AF-B968-3C222AC9D7F1}"/>
    <cellStyle name="Millares 125 4 3" xfId="9656" xr:uid="{F4C2A71F-EB8E-4B2A-8493-C131C54076AA}"/>
    <cellStyle name="Millares 125 5" xfId="3735" xr:uid="{5B6B1661-F700-4E88-AF6C-38AAED6739E0}"/>
    <cellStyle name="Millares 125 5 2" xfId="11303" xr:uid="{AB9D6BAC-9EF1-48B9-8B9F-BA6793775897}"/>
    <cellStyle name="Millares 125 6" xfId="8383" xr:uid="{6792736A-0C28-492C-9FC2-217179104408}"/>
    <cellStyle name="Millares 126" xfId="562" xr:uid="{01ADFEE4-46EE-4A19-878E-F844DFE051F0}"/>
    <cellStyle name="Millares 126 2" xfId="1308" xr:uid="{7C526A01-1C86-4497-91EB-676E9CF281A4}"/>
    <cellStyle name="Millares 126 2 2" xfId="4268" xr:uid="{81A8FBBF-BF3D-49A3-B2DE-9B562BCE3AD5}"/>
    <cellStyle name="Millares 126 2 2 2" xfId="11836" xr:uid="{D40A554D-C23B-4438-B948-2C77FFD3B0F8}"/>
    <cellStyle name="Millares 126 2 3" xfId="8916" xr:uid="{7D5C3468-E42F-4F98-A680-C80F947C833A}"/>
    <cellStyle name="Millares 126 3" xfId="1672" xr:uid="{AEF04D12-F571-456E-8E81-D9FAACEAC2C6}"/>
    <cellStyle name="Millares 126 3 2" xfId="4632" xr:uid="{70F64D87-9663-49E3-B420-64287835446A}"/>
    <cellStyle name="Millares 126 3 2 2" xfId="12200" xr:uid="{CC1C3822-8A21-4884-87F7-319BFC1C1F71}"/>
    <cellStyle name="Millares 126 3 3" xfId="9280" xr:uid="{EF8335B7-3A1A-4AB6-B139-B55C7AC371AC}"/>
    <cellStyle name="Millares 126 4" xfId="2051" xr:uid="{FAF68CA3-5BE8-4983-9DC8-DE5AF445859A}"/>
    <cellStyle name="Millares 126 4 2" xfId="5010" xr:uid="{C5C2C9FC-76CD-4BD1-A4E9-823AFB05785E}"/>
    <cellStyle name="Millares 126 4 2 2" xfId="12578" xr:uid="{BEBBAD6E-0C20-4C05-B023-43A0C8E21886}"/>
    <cellStyle name="Millares 126 4 3" xfId="9658" xr:uid="{6776684D-7E71-43E1-AE72-55C851CDF3EC}"/>
    <cellStyle name="Millares 126 5" xfId="3737" xr:uid="{19FAB0CB-5117-47F2-B6D0-8DDC39261D29}"/>
    <cellStyle name="Millares 126 5 2" xfId="11305" xr:uid="{973536C9-CEEF-4EB2-AF2D-01CFB39017B7}"/>
    <cellStyle name="Millares 126 6" xfId="8385" xr:uid="{D9D71C11-3719-48D5-B884-2699FD9E3F44}"/>
    <cellStyle name="Millares 127" xfId="565" xr:uid="{F0BA15BB-6023-4A9B-ADB5-AAAA15FC3C1A}"/>
    <cellStyle name="Millares 127 2" xfId="1310" xr:uid="{A1578ED9-487F-4B89-8FA8-16B1395CA528}"/>
    <cellStyle name="Millares 127 2 2" xfId="4270" xr:uid="{B5114BAA-4184-4F85-A052-8F80123E53A1}"/>
    <cellStyle name="Millares 127 2 2 2" xfId="11838" xr:uid="{6B7CF850-6072-4235-9469-A92857E4FCAE}"/>
    <cellStyle name="Millares 127 2 3" xfId="8918" xr:uid="{F244D906-8E62-4210-AE90-1B1F7E5C50C1}"/>
    <cellStyle name="Millares 127 3" xfId="1674" xr:uid="{E474F754-72D6-480F-BEBF-37FBA8DC0C85}"/>
    <cellStyle name="Millares 127 3 2" xfId="4634" xr:uid="{7C64FE9C-BE72-4A4B-9D6B-87E71AA3C9A9}"/>
    <cellStyle name="Millares 127 3 2 2" xfId="12202" xr:uid="{D0A8EDE8-8199-4BFC-A74F-0DCD314AF58E}"/>
    <cellStyle name="Millares 127 3 3" xfId="9282" xr:uid="{6997937C-FC08-4DFC-A4C8-1721AE000668}"/>
    <cellStyle name="Millares 127 4" xfId="2053" xr:uid="{2130F9C6-F7D9-4666-BEB9-84150B44753E}"/>
    <cellStyle name="Millares 127 4 2" xfId="5012" xr:uid="{AEC2F66A-ACA7-4EDC-B9DA-0E2826161DA6}"/>
    <cellStyle name="Millares 127 4 2 2" xfId="12580" xr:uid="{307035F8-0FBD-4359-BB56-721554EAF4A3}"/>
    <cellStyle name="Millares 127 4 3" xfId="9660" xr:uid="{81F39903-0145-4417-8333-EF59C81CA995}"/>
    <cellStyle name="Millares 127 5" xfId="3739" xr:uid="{5B82EB59-4268-487E-B5A1-90DD565FFE78}"/>
    <cellStyle name="Millares 127 5 2" xfId="11307" xr:uid="{AB1745F4-999F-4538-A600-9CFD45D0F874}"/>
    <cellStyle name="Millares 127 6" xfId="8387" xr:uid="{DCDFF020-E8DA-4CB0-9029-80B1D17D5A77}"/>
    <cellStyle name="Millares 128" xfId="568" xr:uid="{9DC95486-B391-4A7C-9550-6AA4AF4CA70F}"/>
    <cellStyle name="Millares 128 2" xfId="1312" xr:uid="{9882F9F0-B586-4255-B37F-0893BEC86BFC}"/>
    <cellStyle name="Millares 128 2 2" xfId="4272" xr:uid="{AF1BF986-488B-4A0B-B48A-8C54741B14FA}"/>
    <cellStyle name="Millares 128 2 2 2" xfId="11840" xr:uid="{C2A05BD0-9551-4ECB-AE5C-4D93B4094763}"/>
    <cellStyle name="Millares 128 2 3" xfId="8920" xr:uid="{C27C964A-EB3A-4D18-AD62-674302C2F81C}"/>
    <cellStyle name="Millares 128 3" xfId="1676" xr:uid="{546CB8CB-1293-4071-8125-3E0233AA8A7B}"/>
    <cellStyle name="Millares 128 3 2" xfId="4636" xr:uid="{DBDE210E-78A7-4E7B-9736-E2C94BB7CA37}"/>
    <cellStyle name="Millares 128 3 2 2" xfId="12204" xr:uid="{545F08AC-B2F3-459C-907D-891F2360749B}"/>
    <cellStyle name="Millares 128 3 3" xfId="9284" xr:uid="{9ACF2F23-FA32-4C08-8552-15020805F693}"/>
    <cellStyle name="Millares 128 4" xfId="2055" xr:uid="{4609457E-2124-4028-A887-4B391951F345}"/>
    <cellStyle name="Millares 128 4 2" xfId="5014" xr:uid="{1FF28A07-B490-4F05-B4EC-0150A755FDFB}"/>
    <cellStyle name="Millares 128 4 2 2" xfId="12582" xr:uid="{FC3676F4-9194-4170-80A5-F85E92B452A2}"/>
    <cellStyle name="Millares 128 4 3" xfId="9662" xr:uid="{01414A53-67C6-412A-92F3-6D94685615C4}"/>
    <cellStyle name="Millares 128 5" xfId="3741" xr:uid="{92A9D9FA-772A-4891-BDCF-20983CC6C3A6}"/>
    <cellStyle name="Millares 128 5 2" xfId="11309" xr:uid="{454EA800-E2F4-44C5-A8DF-250346E33BDA}"/>
    <cellStyle name="Millares 128 6" xfId="8389" xr:uid="{70220016-B67B-4D2C-BADA-93EDA236EF26}"/>
    <cellStyle name="Millares 129" xfId="571" xr:uid="{ACD92567-862D-411D-BEAF-EE64AC8DD1BD}"/>
    <cellStyle name="Millares 129 2" xfId="1314" xr:uid="{94C75EFA-E21F-4E63-95A0-6CDC49F893C4}"/>
    <cellStyle name="Millares 129 2 2" xfId="4274" xr:uid="{C99F3D60-A01C-4DC1-A35E-0EF4E375B711}"/>
    <cellStyle name="Millares 129 2 2 2" xfId="11842" xr:uid="{C93566C9-D43A-451C-89E9-DB0BBCDE0882}"/>
    <cellStyle name="Millares 129 2 3" xfId="8922" xr:uid="{8E3BF268-643E-48AB-B1C2-1319E7E188C9}"/>
    <cellStyle name="Millares 129 3" xfId="1678" xr:uid="{D4A8AD90-E696-4CC1-93C9-622A8AA7D4AB}"/>
    <cellStyle name="Millares 129 3 2" xfId="4638" xr:uid="{4C1396AA-0BEB-4CF0-BEB6-BAF243E1C5EC}"/>
    <cellStyle name="Millares 129 3 2 2" xfId="12206" xr:uid="{CBFE2623-99D3-4C7B-94FA-0AB98C3355E6}"/>
    <cellStyle name="Millares 129 3 3" xfId="9286" xr:uid="{B2DAF2B4-804E-415B-97E6-D8123F0A9C3B}"/>
    <cellStyle name="Millares 129 4" xfId="2057" xr:uid="{865C7C91-069A-43BC-9706-494C0C112818}"/>
    <cellStyle name="Millares 129 4 2" xfId="5016" xr:uid="{490B30A4-24D8-48BD-ABE4-09A6EDBBB6FE}"/>
    <cellStyle name="Millares 129 4 2 2" xfId="12584" xr:uid="{4E3E9964-BAB4-4AEC-8E36-E45CB0300AF8}"/>
    <cellStyle name="Millares 129 4 3" xfId="9664" xr:uid="{83E97285-95CF-468B-9D3C-11A91E55D085}"/>
    <cellStyle name="Millares 129 5" xfId="3743" xr:uid="{30654875-F72F-4934-B331-78DC79F031D2}"/>
    <cellStyle name="Millares 129 5 2" xfId="11311" xr:uid="{F03C37D0-6D13-4176-9632-B3351F0B2AF6}"/>
    <cellStyle name="Millares 129 6" xfId="8391" xr:uid="{EE995211-0560-4BDA-BFB2-977AEE0F978E}"/>
    <cellStyle name="Millares 13" xfId="160" xr:uid="{3129069A-81D8-46A8-A5C2-5D79EF9BCB05}"/>
    <cellStyle name="Millares 13 2" xfId="222" xr:uid="{846AA8A9-2882-42D8-AF9F-3B61214697EC}"/>
    <cellStyle name="Millares 13 2 2" xfId="3511" xr:uid="{4DE186FF-0132-4F9C-8ED4-E830A8A98D75}"/>
    <cellStyle name="Millares 13 2 2 2" xfId="11079" xr:uid="{097BB216-CBC8-4687-9730-E80AD8BA7CBD}"/>
    <cellStyle name="Millares 13 2 3" xfId="8159" xr:uid="{C78BB931-AD78-441E-BCD2-A57CEAA87EE4}"/>
    <cellStyle name="Millares 13 3" xfId="1082" xr:uid="{C062E6E5-8922-4617-BA84-1DCB0685822B}"/>
    <cellStyle name="Millares 13 3 2" xfId="4042" xr:uid="{80838F96-9B2B-4719-ADE8-D8D9A785D451}"/>
    <cellStyle name="Millares 13 3 2 2" xfId="11610" xr:uid="{E8CC671D-7F7E-4CAF-A7FF-4D6EE42C49BC}"/>
    <cellStyle name="Millares 13 3 3" xfId="8690" xr:uid="{6930671F-CA47-47C8-A895-4B24391BC401}"/>
    <cellStyle name="Millares 13 4" xfId="1446" xr:uid="{EE69C18B-F2E5-4BFB-B477-C35757D73280}"/>
    <cellStyle name="Millares 13 4 2" xfId="4406" xr:uid="{06F6FC03-C2E4-4351-AA0C-AE801A35F16D}"/>
    <cellStyle name="Millares 13 4 2 2" xfId="11974" xr:uid="{44D7721D-201D-45C5-86A8-1AEBB2BAEC6B}"/>
    <cellStyle name="Millares 13 4 3" xfId="9054" xr:uid="{6CC75B1C-050F-4292-8CE0-7CE2D33F1D53}"/>
    <cellStyle name="Millares 13 5" xfId="1825" xr:uid="{1DCBC7BF-8915-43AD-87F6-2908D2D7C05B}"/>
    <cellStyle name="Millares 13 5 2" xfId="4784" xr:uid="{0B9628F6-A7E8-45AE-86FE-45D782B0B10E}"/>
    <cellStyle name="Millares 13 5 2 2" xfId="12352" xr:uid="{841F53A0-7C80-4557-9D5F-F750EDE33B5E}"/>
    <cellStyle name="Millares 13 5 3" xfId="9432" xr:uid="{B537B066-F699-4B4E-AC53-E7632FCD146D}"/>
    <cellStyle name="Millares 13 6" xfId="3470" xr:uid="{8666A4FE-53DE-459D-BA2A-4FF7BF10E90B}"/>
    <cellStyle name="Millares 13 6 2" xfId="11038" xr:uid="{B7ECB574-FD68-4DCD-9865-A89BC7E8BDD0}"/>
    <cellStyle name="Millares 13 7" xfId="8118" xr:uid="{484DDDD7-527D-4CFF-82AE-987E88777D8A}"/>
    <cellStyle name="Millares 130" xfId="574" xr:uid="{7BEC9F97-65C7-4390-8618-FFEDDE51BA96}"/>
    <cellStyle name="Millares 130 2" xfId="1316" xr:uid="{D5BAD4A2-AFDC-49F6-8786-691358B3252D}"/>
    <cellStyle name="Millares 130 2 2" xfId="4276" xr:uid="{CCE59771-A4A7-4320-AD83-EE0305FC315A}"/>
    <cellStyle name="Millares 130 2 2 2" xfId="11844" xr:uid="{1F64280A-2279-4BA4-A2EA-5BA9F33784DE}"/>
    <cellStyle name="Millares 130 2 3" xfId="8924" xr:uid="{AD8094F5-9B0C-41F3-82CC-42A4FFF20F29}"/>
    <cellStyle name="Millares 130 3" xfId="1680" xr:uid="{F99AD212-7964-438F-A2C4-5B3C2079DA3F}"/>
    <cellStyle name="Millares 130 3 2" xfId="4640" xr:uid="{C492D1FE-4736-49F3-A081-824F7B6BFD54}"/>
    <cellStyle name="Millares 130 3 2 2" xfId="12208" xr:uid="{6AD0FC87-390A-4E61-9FBA-1D2C60CF153B}"/>
    <cellStyle name="Millares 130 3 3" xfId="9288" xr:uid="{7FA5FABE-FAA2-487D-B77F-F03350D60855}"/>
    <cellStyle name="Millares 130 4" xfId="2059" xr:uid="{F0B452D8-98A7-47A9-843A-675E908D597D}"/>
    <cellStyle name="Millares 130 4 2" xfId="5018" xr:uid="{52F9BB09-4507-4648-A470-1E41413EF361}"/>
    <cellStyle name="Millares 130 4 2 2" xfId="12586" xr:uid="{64EB3B03-2208-4F91-822E-7BECF4951789}"/>
    <cellStyle name="Millares 130 4 3" xfId="9666" xr:uid="{F31CB612-898F-4D3F-BCD4-D8DC7ED68EDC}"/>
    <cellStyle name="Millares 130 5" xfId="3745" xr:uid="{18CDA778-D751-4A2C-9B83-22CBCA940DCA}"/>
    <cellStyle name="Millares 130 5 2" xfId="11313" xr:uid="{83161DB4-8459-4E26-A5B2-BA7288CDDA22}"/>
    <cellStyle name="Millares 130 6" xfId="8393" xr:uid="{4E7555E2-D5B6-4A1F-BDEA-96542B5A52A0}"/>
    <cellStyle name="Millares 131" xfId="577" xr:uid="{8D0FB6DC-A557-48D1-BC02-287B838BE9B1}"/>
    <cellStyle name="Millares 131 2" xfId="1318" xr:uid="{1A1B512C-13E7-4CC1-9936-6B54991C0CFD}"/>
    <cellStyle name="Millares 131 2 2" xfId="4278" xr:uid="{2B1746F6-66E8-4297-8B2D-2BD082E8D33C}"/>
    <cellStyle name="Millares 131 2 2 2" xfId="11846" xr:uid="{489F2305-5E72-49BF-91E1-54792AD04DFF}"/>
    <cellStyle name="Millares 131 2 3" xfId="8926" xr:uid="{D10DDDCD-B66C-44B9-A45B-BA40D101C73E}"/>
    <cellStyle name="Millares 131 3" xfId="1682" xr:uid="{A31F63A8-3702-4639-A495-4FB3E12016B4}"/>
    <cellStyle name="Millares 131 3 2" xfId="4642" xr:uid="{0D9D6DED-7BA6-4EB1-B67C-CD14A8A7BE75}"/>
    <cellStyle name="Millares 131 3 2 2" xfId="12210" xr:uid="{DE002AE8-E72C-4C48-B600-F462BA4AB431}"/>
    <cellStyle name="Millares 131 3 3" xfId="9290" xr:uid="{7DAE2EA4-8E49-4CD7-97D0-B43CEEC582F6}"/>
    <cellStyle name="Millares 131 4" xfId="2061" xr:uid="{4B6930DA-819C-451D-A99D-E5A8CBB81945}"/>
    <cellStyle name="Millares 131 4 2" xfId="5020" xr:uid="{0A0B6839-1257-4ED6-ADE4-BD03F9592851}"/>
    <cellStyle name="Millares 131 4 2 2" xfId="12588" xr:uid="{4C401FB6-37D6-45B8-A4D0-230CAD91E824}"/>
    <cellStyle name="Millares 131 4 3" xfId="9668" xr:uid="{94C3C2A6-B832-41EE-9C3E-5B3E314551B7}"/>
    <cellStyle name="Millares 131 5" xfId="3747" xr:uid="{75B1FF35-03F4-47EB-A270-BA5BF744C6CA}"/>
    <cellStyle name="Millares 131 5 2" xfId="11315" xr:uid="{BDAB1737-449D-41D1-A5CB-F306C6414A0A}"/>
    <cellStyle name="Millares 131 6" xfId="8395" xr:uid="{7D957D15-2124-4728-BEE4-38C7635DC680}"/>
    <cellStyle name="Millares 132" xfId="580" xr:uid="{5BBD6746-E12F-40E3-8C7C-A0A5DEEB63C7}"/>
    <cellStyle name="Millares 132 2" xfId="1320" xr:uid="{FD57074D-5BB8-4441-BB28-12AD25AE956C}"/>
    <cellStyle name="Millares 132 2 2" xfId="4280" xr:uid="{6EFA023B-761B-4385-80FA-72B7BD8ED73A}"/>
    <cellStyle name="Millares 132 2 2 2" xfId="11848" xr:uid="{FD778849-A2F5-4BA0-9A8C-9E922B9B03D6}"/>
    <cellStyle name="Millares 132 2 3" xfId="8928" xr:uid="{39A34264-55D6-47D8-B5AC-23CC270280F1}"/>
    <cellStyle name="Millares 132 3" xfId="1684" xr:uid="{310A072F-27B8-4985-BBCA-F271EA524A8A}"/>
    <cellStyle name="Millares 132 3 2" xfId="4644" xr:uid="{CD1F0E9E-BF2E-469B-B832-ABE7EE72FC53}"/>
    <cellStyle name="Millares 132 3 2 2" xfId="12212" xr:uid="{EB0D4953-DFAF-4B56-BF03-66797C7372C4}"/>
    <cellStyle name="Millares 132 3 3" xfId="9292" xr:uid="{B2FB669A-5729-4576-B9A1-9002F82EDE27}"/>
    <cellStyle name="Millares 132 4" xfId="2063" xr:uid="{E573AC13-5531-4692-BA29-1AC590E1102C}"/>
    <cellStyle name="Millares 132 4 2" xfId="5022" xr:uid="{793432ED-53EE-44FD-A6A7-E3F00B53CCC1}"/>
    <cellStyle name="Millares 132 4 2 2" xfId="12590" xr:uid="{475CE403-055E-40D1-B3B0-7E5B860BC8D4}"/>
    <cellStyle name="Millares 132 4 3" xfId="9670" xr:uid="{52E736F4-5D1B-4FDE-8779-C4D67CC2DE4F}"/>
    <cellStyle name="Millares 132 5" xfId="3749" xr:uid="{292C6CF8-F9F8-45AD-9736-57462759C733}"/>
    <cellStyle name="Millares 132 5 2" xfId="11317" xr:uid="{990A50FC-73C9-4AF9-82E0-AEE8C3B2DA88}"/>
    <cellStyle name="Millares 132 6" xfId="8397" xr:uid="{DAB69BE1-2D66-4F51-B845-52FDE7F69A40}"/>
    <cellStyle name="Millares 133" xfId="583" xr:uid="{E0D28AE6-9168-4C54-AA33-7A8D597B7F9F}"/>
    <cellStyle name="Millares 133 2" xfId="1322" xr:uid="{44090468-8384-41F0-B5DB-D043277BF38E}"/>
    <cellStyle name="Millares 133 2 2" xfId="4282" xr:uid="{4AC7C713-1936-4829-983C-325D4DE59BD0}"/>
    <cellStyle name="Millares 133 2 2 2" xfId="11850" xr:uid="{5D30F232-3370-4B87-8695-DDBE3DD724C5}"/>
    <cellStyle name="Millares 133 2 3" xfId="8930" xr:uid="{2A13134D-AAAF-461D-87D6-C4244F6CFC00}"/>
    <cellStyle name="Millares 133 3" xfId="1686" xr:uid="{651A3C5F-CDEB-4F40-A72F-84DCA4980B69}"/>
    <cellStyle name="Millares 133 3 2" xfId="4646" xr:uid="{92867565-3D26-43CF-8AFF-3843F578141A}"/>
    <cellStyle name="Millares 133 3 2 2" xfId="12214" xr:uid="{3608989B-9AAF-479A-81C5-3884F8757FEF}"/>
    <cellStyle name="Millares 133 3 3" xfId="9294" xr:uid="{A0D2DB57-969A-4814-99A3-79600CE0352C}"/>
    <cellStyle name="Millares 133 4" xfId="2065" xr:uid="{E9EDBF46-C314-43BB-B8B9-01A2FA13DDAD}"/>
    <cellStyle name="Millares 133 4 2" xfId="5024" xr:uid="{E372C761-A37C-43ED-870A-CA84715FD495}"/>
    <cellStyle name="Millares 133 4 2 2" xfId="12592" xr:uid="{9C41026D-E9C0-4D70-98AF-37F16FEE0EEA}"/>
    <cellStyle name="Millares 133 4 3" xfId="9672" xr:uid="{B129FFB2-62BA-4E19-B631-4EAA7C1396F9}"/>
    <cellStyle name="Millares 133 5" xfId="3751" xr:uid="{9F52E778-6887-4802-AF10-A21CDDC488A5}"/>
    <cellStyle name="Millares 133 5 2" xfId="11319" xr:uid="{452B802F-AD89-4C52-8F66-95B0D65133C5}"/>
    <cellStyle name="Millares 133 6" xfId="8399" xr:uid="{D7DB1EC8-F343-48D5-B3AE-6D020E0C1279}"/>
    <cellStyle name="Millares 134" xfId="586" xr:uid="{3C24B531-C5FC-4EEE-B2DA-EEEB69E2CE19}"/>
    <cellStyle name="Millares 134 2" xfId="1324" xr:uid="{497F8109-B5DF-4436-BCFA-88E3F2F01BC3}"/>
    <cellStyle name="Millares 134 2 2" xfId="4284" xr:uid="{5014C808-4BA3-4658-81DC-568903010322}"/>
    <cellStyle name="Millares 134 2 2 2" xfId="11852" xr:uid="{94C007B4-6442-4135-942F-2B383C29E0C1}"/>
    <cellStyle name="Millares 134 2 3" xfId="8932" xr:uid="{8E11739C-2219-4892-A32A-60E90D3E873C}"/>
    <cellStyle name="Millares 134 3" xfId="1688" xr:uid="{14C4B3FE-52F4-4592-A38F-F1FD19F038D8}"/>
    <cellStyle name="Millares 134 3 2" xfId="4648" xr:uid="{F6C70BB2-6282-4028-92B6-0B4EE8530B54}"/>
    <cellStyle name="Millares 134 3 2 2" xfId="12216" xr:uid="{7F5588F1-1918-4ED5-8743-6AEAEDE065D5}"/>
    <cellStyle name="Millares 134 3 3" xfId="9296" xr:uid="{76387B00-F4F2-4E79-9F41-136BD3BC8D07}"/>
    <cellStyle name="Millares 134 4" xfId="2067" xr:uid="{581CAA55-521C-470E-B9F5-D3A69B67DC84}"/>
    <cellStyle name="Millares 134 4 2" xfId="5026" xr:uid="{C6DF5D5F-C497-4D9B-8042-E1E0F3B11896}"/>
    <cellStyle name="Millares 134 4 2 2" xfId="12594" xr:uid="{104EF92E-EEC7-4AFA-960C-9A8524A1FDA0}"/>
    <cellStyle name="Millares 134 4 3" xfId="9674" xr:uid="{279FB90D-784B-448F-B727-A1D8F479AF54}"/>
    <cellStyle name="Millares 134 5" xfId="3753" xr:uid="{8E198733-978E-486D-918C-994496F42FBE}"/>
    <cellStyle name="Millares 134 5 2" xfId="11321" xr:uid="{0629DEC0-DAC4-4983-B3A0-22A83E4CDB42}"/>
    <cellStyle name="Millares 134 6" xfId="8401" xr:uid="{CF960B3C-2E00-41FE-8AF9-DDBB72FAAFE4}"/>
    <cellStyle name="Millares 135" xfId="589" xr:uid="{CDE13FBF-648C-48D0-8BB3-C776537E6980}"/>
    <cellStyle name="Millares 135 2" xfId="1326" xr:uid="{3AA486E3-9F92-4C6F-80A2-EE53F52A3B9A}"/>
    <cellStyle name="Millares 135 2 2" xfId="4286" xr:uid="{ACD0EC16-B33F-491D-92E0-F8A130786DC5}"/>
    <cellStyle name="Millares 135 2 2 2" xfId="11854" xr:uid="{456265C7-7F53-4BE1-BD9C-4076550DF2C0}"/>
    <cellStyle name="Millares 135 2 3" xfId="8934" xr:uid="{9058437F-1887-40D5-AA49-3AB67A50D15E}"/>
    <cellStyle name="Millares 135 3" xfId="1690" xr:uid="{9DEAB972-E483-47BC-8EAB-3B622A67CD0C}"/>
    <cellStyle name="Millares 135 3 2" xfId="4650" xr:uid="{46CF2AC4-8F67-4254-BF12-FBFE9963464B}"/>
    <cellStyle name="Millares 135 3 2 2" xfId="12218" xr:uid="{F9394B90-FB9A-4E53-8AAB-CC59DDFAE8EC}"/>
    <cellStyle name="Millares 135 3 3" xfId="9298" xr:uid="{323DCB29-742C-467E-B4AC-3CD328A20720}"/>
    <cellStyle name="Millares 135 4" xfId="2069" xr:uid="{3E7D8A4D-87DD-4BDF-AC74-5A6F1A39EC91}"/>
    <cellStyle name="Millares 135 4 2" xfId="5028" xr:uid="{B933C67A-FCAF-4D16-9CC0-A851943DA119}"/>
    <cellStyle name="Millares 135 4 2 2" xfId="12596" xr:uid="{1A41ABD2-3A68-4E04-B3BA-BC3687F09BEE}"/>
    <cellStyle name="Millares 135 4 3" xfId="9676" xr:uid="{03C99C98-304B-46B0-99D5-ABD81908F653}"/>
    <cellStyle name="Millares 135 5" xfId="3755" xr:uid="{443BDDE5-E174-468D-9F65-14211D7F868D}"/>
    <cellStyle name="Millares 135 5 2" xfId="11323" xr:uid="{5397F51E-8751-4E39-AC92-F17E10B4FB6B}"/>
    <cellStyle name="Millares 135 6" xfId="8403" xr:uid="{DCE12FFC-553E-4BE6-88B0-DA5CAD6967E7}"/>
    <cellStyle name="Millares 136" xfId="592" xr:uid="{9C703601-F356-4E5A-A567-B68EF9FFE933}"/>
    <cellStyle name="Millares 136 2" xfId="1328" xr:uid="{9A9A4F30-F33F-4DF7-AA3D-DE2D9EF1A8E6}"/>
    <cellStyle name="Millares 136 2 2" xfId="4288" xr:uid="{1975C1C0-F4E9-425E-A154-D4D3494DDBE6}"/>
    <cellStyle name="Millares 136 2 2 2" xfId="11856" xr:uid="{1BBC856C-EB26-4477-9DAA-9F00AD18215A}"/>
    <cellStyle name="Millares 136 2 3" xfId="8936" xr:uid="{AD09F1D1-766C-42DB-8C8C-90C7088058DB}"/>
    <cellStyle name="Millares 136 3" xfId="1692" xr:uid="{AB5E5529-3F66-4A0F-844C-4A3D27D511F3}"/>
    <cellStyle name="Millares 136 3 2" xfId="4652" xr:uid="{AB70426B-F3B7-44CF-AE5D-3F7CA161A7F2}"/>
    <cellStyle name="Millares 136 3 2 2" xfId="12220" xr:uid="{F0ACC9D8-0AEF-450F-AC56-A337E02A8FB4}"/>
    <cellStyle name="Millares 136 3 3" xfId="9300" xr:uid="{0DA9463D-F8EA-4A23-BF81-C0A8731D4A90}"/>
    <cellStyle name="Millares 136 4" xfId="2071" xr:uid="{E63385E5-3085-405F-9E3A-AD2AF2369898}"/>
    <cellStyle name="Millares 136 4 2" xfId="5030" xr:uid="{C072CAFE-D1E9-4A83-9F1D-C7C7ADBF8646}"/>
    <cellStyle name="Millares 136 4 2 2" xfId="12598" xr:uid="{0BCBBF35-F2F3-4F38-8851-057549308507}"/>
    <cellStyle name="Millares 136 4 3" xfId="9678" xr:uid="{292AF947-7980-4656-9CFA-F878AEAD4CF8}"/>
    <cellStyle name="Millares 136 5" xfId="3757" xr:uid="{C382D063-6D45-4986-A765-96D4AAE22F49}"/>
    <cellStyle name="Millares 136 5 2" xfId="11325" xr:uid="{4CD87A07-717C-4C8E-80C8-ACF1976D6D36}"/>
    <cellStyle name="Millares 136 6" xfId="8405" xr:uid="{91CA1224-A858-46AB-8891-E89378998857}"/>
    <cellStyle name="Millares 137" xfId="595" xr:uid="{7DE01F07-5942-4171-92D8-470EAC4B76C7}"/>
    <cellStyle name="Millares 137 2" xfId="1330" xr:uid="{8592760B-E457-4CAB-81E8-86600300B4CF}"/>
    <cellStyle name="Millares 137 2 2" xfId="4290" xr:uid="{AE0980CF-BD71-4AAE-BF90-FD61AE92C33C}"/>
    <cellStyle name="Millares 137 2 2 2" xfId="11858" xr:uid="{4C93B3FF-1FBE-4D45-AD98-18D2943C2605}"/>
    <cellStyle name="Millares 137 2 3" xfId="8938" xr:uid="{97794BC9-CE8B-42C3-AD61-59473F81A4E8}"/>
    <cellStyle name="Millares 137 3" xfId="1694" xr:uid="{515867B5-7EEA-4507-AA94-613AA1FFCBC0}"/>
    <cellStyle name="Millares 137 3 2" xfId="4654" xr:uid="{6A8296C7-5924-4F7D-9439-9AC73E4B99CF}"/>
    <cellStyle name="Millares 137 3 2 2" xfId="12222" xr:uid="{4D430148-475D-4479-92D1-D313E53E25DC}"/>
    <cellStyle name="Millares 137 3 3" xfId="9302" xr:uid="{C6344EA4-37B3-4E7F-A237-01F4893F7134}"/>
    <cellStyle name="Millares 137 4" xfId="2073" xr:uid="{5C8DAAED-B43C-41F0-8BBE-86B3DB6137D2}"/>
    <cellStyle name="Millares 137 4 2" xfId="5032" xr:uid="{4A480DF3-CB94-4C3F-8B9E-90871DDD604E}"/>
    <cellStyle name="Millares 137 4 2 2" xfId="12600" xr:uid="{6F78F134-4BDA-4747-9A98-1A759C9660E9}"/>
    <cellStyle name="Millares 137 4 3" xfId="9680" xr:uid="{D4CFB6A5-CD02-4406-894D-0E26E11DA12C}"/>
    <cellStyle name="Millares 137 5" xfId="3759" xr:uid="{F0B74229-F28F-441C-A067-5278C37F8F40}"/>
    <cellStyle name="Millares 137 5 2" xfId="11327" xr:uid="{78EB4232-2A2C-44BE-B0DB-1B741E5AB1C3}"/>
    <cellStyle name="Millares 137 6" xfId="8407" xr:uid="{BD0924A8-9DE4-4042-BC4E-AA032654FD4B}"/>
    <cellStyle name="Millares 138" xfId="598" xr:uid="{8CA64161-147D-4E17-B00B-D627A033EFD2}"/>
    <cellStyle name="Millares 138 2" xfId="1332" xr:uid="{007AC4D7-F8D1-4CD7-B86A-67F5BEB15505}"/>
    <cellStyle name="Millares 138 2 2" xfId="4292" xr:uid="{53254F40-62EE-4686-80C1-BA6DC4A291FE}"/>
    <cellStyle name="Millares 138 2 2 2" xfId="11860" xr:uid="{ADABB1EF-3666-474D-A731-A30029D5B1E4}"/>
    <cellStyle name="Millares 138 2 3" xfId="8940" xr:uid="{583BF8F0-9DD0-4516-A05B-47D013895B93}"/>
    <cellStyle name="Millares 138 3" xfId="1696" xr:uid="{B5AD32B2-C1D2-4E12-943E-0062084F8595}"/>
    <cellStyle name="Millares 138 3 2" xfId="4656" xr:uid="{2F25A7CC-9A51-4531-B13F-734741EB54CE}"/>
    <cellStyle name="Millares 138 3 2 2" xfId="12224" xr:uid="{35F8103C-45C9-48BF-BD20-B4A36F8708AC}"/>
    <cellStyle name="Millares 138 3 3" xfId="9304" xr:uid="{2A33EDDD-4FD9-43A3-98DE-8243F6EBF123}"/>
    <cellStyle name="Millares 138 4" xfId="2075" xr:uid="{14AC7B3F-CDBE-45DF-819C-E85B0CDF9113}"/>
    <cellStyle name="Millares 138 4 2" xfId="5034" xr:uid="{2A6F8914-69E9-4D09-9823-FDE10DBF0C88}"/>
    <cellStyle name="Millares 138 4 2 2" xfId="12602" xr:uid="{1483DB2B-8B05-4917-81F0-C6CA777836A3}"/>
    <cellStyle name="Millares 138 4 3" xfId="9682" xr:uid="{6233F7EA-B328-489C-9260-AEE1198FA985}"/>
    <cellStyle name="Millares 138 5" xfId="3761" xr:uid="{0D093A56-52B1-4BBA-B5EE-4D05744980C8}"/>
    <cellStyle name="Millares 138 5 2" xfId="11329" xr:uid="{D2A12D41-395C-4B67-96FB-56BC1ED6BBAB}"/>
    <cellStyle name="Millares 138 6" xfId="8409" xr:uid="{3E54722F-F00F-454C-92E0-47C812D91E83}"/>
    <cellStyle name="Millares 139" xfId="601" xr:uid="{77500E66-F353-4456-A46D-569EF29498E3}"/>
    <cellStyle name="Millares 139 2" xfId="1334" xr:uid="{CF05DBB0-7517-4EAE-BE97-DE955C4ABD35}"/>
    <cellStyle name="Millares 139 2 2" xfId="4294" xr:uid="{A82B705F-B70D-4968-ACBE-E34DAC209A26}"/>
    <cellStyle name="Millares 139 2 2 2" xfId="11862" xr:uid="{5C2DC6DF-3748-450C-AA51-FABD0CD3F0AB}"/>
    <cellStyle name="Millares 139 2 3" xfId="8942" xr:uid="{E91D020D-C66D-4F5B-8592-9F77E13BE4A6}"/>
    <cellStyle name="Millares 139 3" xfId="1698" xr:uid="{BD4C2DAA-8CD1-46B8-809D-0036841CE1E3}"/>
    <cellStyle name="Millares 139 3 2" xfId="4658" xr:uid="{B5823C48-ED29-4E40-BAE2-FC555948F381}"/>
    <cellStyle name="Millares 139 3 2 2" xfId="12226" xr:uid="{64B3F7D7-20AB-4E4F-8B06-7C7A3F7C1EB4}"/>
    <cellStyle name="Millares 139 3 3" xfId="9306" xr:uid="{88F19EEF-5E58-45A9-BD29-680837D1E2A4}"/>
    <cellStyle name="Millares 139 4" xfId="2077" xr:uid="{ED6F1FDF-CD59-4049-9A54-FE6393BD947F}"/>
    <cellStyle name="Millares 139 4 2" xfId="5036" xr:uid="{A43C5B5E-DE6D-42A2-9820-9939C6CF2764}"/>
    <cellStyle name="Millares 139 4 2 2" xfId="12604" xr:uid="{75BD7946-88FD-49F4-A6E1-13D0F3369C2F}"/>
    <cellStyle name="Millares 139 4 3" xfId="9684" xr:uid="{38D4148D-AC56-4B81-A288-A68A7BD1EB98}"/>
    <cellStyle name="Millares 139 5" xfId="3763" xr:uid="{5769D662-03B9-4A3C-AC3B-C276FE3F8206}"/>
    <cellStyle name="Millares 139 5 2" xfId="11331" xr:uid="{44B4A443-D69B-49AB-BF15-5A59AE598BA3}"/>
    <cellStyle name="Millares 139 6" xfId="8411" xr:uid="{83F4D84A-445D-41C0-BC93-32E6D59752C8}"/>
    <cellStyle name="Millares 14" xfId="225" xr:uid="{01D54B38-8000-4B72-AD17-9530CCE7363A}"/>
    <cellStyle name="Millares 14 2" xfId="1084" xr:uid="{C4A8128D-C3F8-4B91-BE5C-D467264F3006}"/>
    <cellStyle name="Millares 14 2 2" xfId="4044" xr:uid="{E96632F5-6E0E-47C3-85CD-32B720E9DA1F}"/>
    <cellStyle name="Millares 14 2 2 2" xfId="11612" xr:uid="{2DF202FB-74FE-4A19-9D1B-850629BE490D}"/>
    <cellStyle name="Millares 14 2 3" xfId="8692" xr:uid="{351C36B2-0BD9-45B9-BFB6-D65D52B85E9B}"/>
    <cellStyle name="Millares 14 3" xfId="1448" xr:uid="{11363960-3E8B-40A7-ADFA-ED0B4A642419}"/>
    <cellStyle name="Millares 14 3 2" xfId="4408" xr:uid="{884715ED-4154-4B00-A16C-86BACD6C0206}"/>
    <cellStyle name="Millares 14 3 2 2" xfId="11976" xr:uid="{5A02E64E-8FAE-430D-9E5F-F212E8DB9C2B}"/>
    <cellStyle name="Millares 14 3 3" xfId="9056" xr:uid="{EB088BAD-F0E6-41DE-B193-CB1AAA61EC4A}"/>
    <cellStyle name="Millares 14 4" xfId="1827" xr:uid="{46CD7956-2F15-40F2-9DB6-2E04250288F8}"/>
    <cellStyle name="Millares 14 4 2" xfId="4786" xr:uid="{9CF04139-3A81-4D64-8F05-26B4B8118CA6}"/>
    <cellStyle name="Millares 14 4 2 2" xfId="12354" xr:uid="{5878F192-F594-4995-8E61-B9D5F30981B5}"/>
    <cellStyle name="Millares 14 4 3" xfId="9434" xr:uid="{D5D4139E-F03E-4C9A-9FC8-80A4878CDC91}"/>
    <cellStyle name="Millares 14 5" xfId="3513" xr:uid="{B43C0A08-823A-457C-A4D2-DD12808C20C4}"/>
    <cellStyle name="Millares 14 5 2" xfId="11081" xr:uid="{DC4B20E3-4A5C-4EDA-9E38-6CC430E50C9F}"/>
    <cellStyle name="Millares 14 6" xfId="8161" xr:uid="{018F6894-C2EE-413C-8198-58E4A9128DF0}"/>
    <cellStyle name="Millares 140" xfId="604" xr:uid="{BABDD6A6-F9FE-40E0-BA64-EC6A53E738FF}"/>
    <cellStyle name="Millares 140 2" xfId="1336" xr:uid="{9CBEFA9D-B8E9-4D17-BC1A-0D01A21C2471}"/>
    <cellStyle name="Millares 140 2 2" xfId="4296" xr:uid="{E61CBF2A-8DA3-4201-87A3-C438873FC1BB}"/>
    <cellStyle name="Millares 140 2 2 2" xfId="11864" xr:uid="{CE89A2E4-BA4C-4EC1-B7F2-41E119B4F70C}"/>
    <cellStyle name="Millares 140 2 3" xfId="8944" xr:uid="{F0F81978-2385-4EBA-9470-68055DD91068}"/>
    <cellStyle name="Millares 140 3" xfId="1700" xr:uid="{844C785A-E700-4B54-95F1-2029D008CE3E}"/>
    <cellStyle name="Millares 140 3 2" xfId="4660" xr:uid="{D14D12E3-FB9E-48D9-9EC5-4D9989095D8E}"/>
    <cellStyle name="Millares 140 3 2 2" xfId="12228" xr:uid="{7907122D-7579-48FE-B9B0-7F17371477CE}"/>
    <cellStyle name="Millares 140 3 3" xfId="9308" xr:uid="{09061532-57CC-4A4A-8B9C-8ECE11D4F2A2}"/>
    <cellStyle name="Millares 140 4" xfId="2079" xr:uid="{6283D605-40A0-40CC-BA01-1744C46C2494}"/>
    <cellStyle name="Millares 140 4 2" xfId="5038" xr:uid="{ED068DE4-E887-43DB-AEFB-5D4D4C290D91}"/>
    <cellStyle name="Millares 140 4 2 2" xfId="12606" xr:uid="{7B4E12F7-A039-4082-85E1-69DADABF6E4A}"/>
    <cellStyle name="Millares 140 4 3" xfId="9686" xr:uid="{DEA08154-A391-428E-A486-6DF9922AB5BA}"/>
    <cellStyle name="Millares 140 5" xfId="3765" xr:uid="{C2260674-1D83-4D9A-9D66-CCF8785116F0}"/>
    <cellStyle name="Millares 140 5 2" xfId="11333" xr:uid="{80D7814F-764F-4468-B4CE-FB01190CA5F4}"/>
    <cellStyle name="Millares 140 6" xfId="8413" xr:uid="{B1640808-8861-45EE-8CA8-91C5D2987CC7}"/>
    <cellStyle name="Millares 141" xfId="607" xr:uid="{C45BE937-F80D-4564-BD04-1113520834CA}"/>
    <cellStyle name="Millares 141 2" xfId="1338" xr:uid="{DC17DD67-92BE-441F-9DD6-F9ADBF1CA0D6}"/>
    <cellStyle name="Millares 141 2 2" xfId="4298" xr:uid="{DEDF8A5F-E0FB-4285-A8D0-DF6D38AF5317}"/>
    <cellStyle name="Millares 141 2 2 2" xfId="11866" xr:uid="{B1C1B353-5F00-49B6-B8D8-AE9AA1F4D7A9}"/>
    <cellStyle name="Millares 141 2 3" xfId="8946" xr:uid="{137DB2F6-03CC-42FA-8867-9DB5CF3FD42D}"/>
    <cellStyle name="Millares 141 3" xfId="1702" xr:uid="{0D5711B1-2AC0-45C7-BF30-41D7BF9DF531}"/>
    <cellStyle name="Millares 141 3 2" xfId="4662" xr:uid="{60F4D4EA-173B-4BC3-B31F-C9C6AFBD9970}"/>
    <cellStyle name="Millares 141 3 2 2" xfId="12230" xr:uid="{DE479882-D119-4A8E-99FC-B4723EF3BA31}"/>
    <cellStyle name="Millares 141 3 3" xfId="9310" xr:uid="{667E1CC8-15B3-4A5A-87DB-07CCBE0CC953}"/>
    <cellStyle name="Millares 141 4" xfId="2081" xr:uid="{BF1092EA-ACBB-4540-A0F3-AEB7E7E4867A}"/>
    <cellStyle name="Millares 141 4 2" xfId="5040" xr:uid="{3F7D824A-7B9B-4EE3-8573-A5E82DB3D371}"/>
    <cellStyle name="Millares 141 4 2 2" xfId="12608" xr:uid="{CBFC1967-B097-4F27-B5BF-517DE79AEBA1}"/>
    <cellStyle name="Millares 141 4 3" xfId="9688" xr:uid="{1C274E6A-85CA-4DCB-B423-3908C9563CD4}"/>
    <cellStyle name="Millares 141 5" xfId="3767" xr:uid="{0EFD0A27-602A-4ACC-951C-18422D24B7A0}"/>
    <cellStyle name="Millares 141 5 2" xfId="11335" xr:uid="{A0648929-3763-40C8-BF9C-A7795D0B7F6E}"/>
    <cellStyle name="Millares 141 6" xfId="8415" xr:uid="{7E7F7A4F-B700-4653-B956-012ABA565213}"/>
    <cellStyle name="Millares 142" xfId="610" xr:uid="{AB9EAC18-23C7-4669-A084-3C3E1D732F29}"/>
    <cellStyle name="Millares 142 2" xfId="1340" xr:uid="{22F4B6CE-C632-4855-B4A9-DFB275305F3C}"/>
    <cellStyle name="Millares 142 2 2" xfId="4300" xr:uid="{02D871A6-9142-4124-9137-2FAF610A9E37}"/>
    <cellStyle name="Millares 142 2 2 2" xfId="11868" xr:uid="{529CE7B8-7514-4D4C-A445-5B9418795BBC}"/>
    <cellStyle name="Millares 142 2 3" xfId="8948" xr:uid="{CBB59D0A-19B5-4782-8415-4D355CDD2510}"/>
    <cellStyle name="Millares 142 3" xfId="1704" xr:uid="{1CA77886-53AD-4AAC-A10C-ADBE940A6EEE}"/>
    <cellStyle name="Millares 142 3 2" xfId="4664" xr:uid="{8FFCD104-6352-4460-A2BE-D1665A02553F}"/>
    <cellStyle name="Millares 142 3 2 2" xfId="12232" xr:uid="{7E511F0F-882B-40A1-8435-ADB12269F358}"/>
    <cellStyle name="Millares 142 3 3" xfId="9312" xr:uid="{D70A879E-2C81-49F7-B69A-84C061F76C31}"/>
    <cellStyle name="Millares 142 4" xfId="2083" xr:uid="{72138BC0-CA01-44E1-8571-DEF574CC77DA}"/>
    <cellStyle name="Millares 142 4 2" xfId="5042" xr:uid="{30F9AE99-F6D5-46DD-8D8D-B2E9E5973BC9}"/>
    <cellStyle name="Millares 142 4 2 2" xfId="12610" xr:uid="{FEAD86E2-9721-470A-8666-7C68E88EB8C5}"/>
    <cellStyle name="Millares 142 4 3" xfId="9690" xr:uid="{E2EC74C5-C5DD-4553-AFCA-26E0E3DB42B8}"/>
    <cellStyle name="Millares 142 5" xfId="3769" xr:uid="{0E83621F-5414-4054-B414-50CC3C01F24E}"/>
    <cellStyle name="Millares 142 5 2" xfId="11337" xr:uid="{14B71CB7-35B5-46ED-8387-3BA19D3D148A}"/>
    <cellStyle name="Millares 142 6" xfId="8417" xr:uid="{54A229F5-4630-41BD-BB84-3A73C6B6929C}"/>
    <cellStyle name="Millares 143" xfId="613" xr:uid="{71EAD89F-262D-4CC4-BDFD-7B8E9A679D07}"/>
    <cellStyle name="Millares 143 2" xfId="1342" xr:uid="{027D7AB4-A2A3-47F7-94B2-7EB935F32F71}"/>
    <cellStyle name="Millares 143 2 2" xfId="4302" xr:uid="{77F5BAF8-C570-4B11-9FB9-B9BFDB5D20AF}"/>
    <cellStyle name="Millares 143 2 2 2" xfId="11870" xr:uid="{CDF3DB49-300F-47BD-AB83-81AE641BDED7}"/>
    <cellStyle name="Millares 143 2 3" xfId="8950" xr:uid="{424C2421-BF78-4B4E-B314-91F0758045FF}"/>
    <cellStyle name="Millares 143 3" xfId="1706" xr:uid="{12BD53A8-8968-4F22-A665-C60D12A143C0}"/>
    <cellStyle name="Millares 143 3 2" xfId="4666" xr:uid="{865688F8-A154-42D4-911F-160CFF12DA3B}"/>
    <cellStyle name="Millares 143 3 2 2" xfId="12234" xr:uid="{15209C2F-585C-4AF4-AC06-71D889AED1AD}"/>
    <cellStyle name="Millares 143 3 3" xfId="9314" xr:uid="{BB5A72CA-224E-454F-8196-06C4C8C80B1B}"/>
    <cellStyle name="Millares 143 4" xfId="2085" xr:uid="{6E51F157-964C-4CC0-B563-E9BD02E83BDE}"/>
    <cellStyle name="Millares 143 4 2" xfId="5044" xr:uid="{0E209279-ED84-4378-B2D8-88A66F325EFA}"/>
    <cellStyle name="Millares 143 4 2 2" xfId="12612" xr:uid="{0DBF94A3-B99A-4CCC-90F9-CEDDCB00AEEE}"/>
    <cellStyle name="Millares 143 4 3" xfId="9692" xr:uid="{9598499F-036F-4A5A-9291-A8709639FBB6}"/>
    <cellStyle name="Millares 143 5" xfId="3771" xr:uid="{50AC1DF3-DA0A-417B-BA3F-C3D40FB22871}"/>
    <cellStyle name="Millares 143 5 2" xfId="11339" xr:uid="{15854D5D-726B-4778-B978-268933FD490A}"/>
    <cellStyle name="Millares 143 6" xfId="8419" xr:uid="{FB803ED2-66C1-449F-8505-D710929314FC}"/>
    <cellStyle name="Millares 144" xfId="616" xr:uid="{40D1DF14-5B8E-4C0B-A66C-4E2501E481C1}"/>
    <cellStyle name="Millares 144 2" xfId="1344" xr:uid="{7118943E-D740-400A-9FCC-C081CC25A144}"/>
    <cellStyle name="Millares 144 2 2" xfId="4304" xr:uid="{1A6F281C-A835-4388-98B3-EDDDF362CEE0}"/>
    <cellStyle name="Millares 144 2 2 2" xfId="11872" xr:uid="{CA168A35-CBC9-406C-996A-B249C0AF58F3}"/>
    <cellStyle name="Millares 144 2 3" xfId="8952" xr:uid="{C4748FCC-6AC1-4906-B6C7-7A8A66323823}"/>
    <cellStyle name="Millares 144 3" xfId="1708" xr:uid="{CABA23B9-5CA2-4EA4-BC87-47A29D95541D}"/>
    <cellStyle name="Millares 144 3 2" xfId="4668" xr:uid="{DB948BE7-F08C-44CD-B58D-E5485FABB087}"/>
    <cellStyle name="Millares 144 3 2 2" xfId="12236" xr:uid="{4DB5D81D-D38E-4F8D-A258-201C5D0B81EF}"/>
    <cellStyle name="Millares 144 3 3" xfId="9316" xr:uid="{B37C1E2C-43B5-455D-B205-4D08BF10710D}"/>
    <cellStyle name="Millares 144 4" xfId="2087" xr:uid="{CC13CA2C-391C-4893-8382-EFC542D6C2A3}"/>
    <cellStyle name="Millares 144 4 2" xfId="5046" xr:uid="{7E03AF17-CDC1-4B5A-A8F0-64C671E5D6A4}"/>
    <cellStyle name="Millares 144 4 2 2" xfId="12614" xr:uid="{E2C3F8CE-C066-4048-8536-09ACA315918E}"/>
    <cellStyle name="Millares 144 4 3" xfId="9694" xr:uid="{C1BCF2D2-CDCF-4BB2-B0AD-53FDD5A39DC4}"/>
    <cellStyle name="Millares 144 5" xfId="3773" xr:uid="{54F3FC26-C1FD-40BC-8362-C19515E17BA6}"/>
    <cellStyle name="Millares 144 5 2" xfId="11341" xr:uid="{4B0A1DD4-4617-4966-8F17-5895708645AF}"/>
    <cellStyle name="Millares 144 6" xfId="8421" xr:uid="{006A8BED-DAD8-4BE8-B78A-0FC5067AB8DC}"/>
    <cellStyle name="Millares 145" xfId="619" xr:uid="{5247BB2F-D70D-4AD2-BC4D-5276B88D64CD}"/>
    <cellStyle name="Millares 145 2" xfId="1346" xr:uid="{772C451B-8868-4730-8DB7-23F865CC4427}"/>
    <cellStyle name="Millares 145 2 2" xfId="4306" xr:uid="{2D652334-1315-451B-96AD-438CC85E8C2D}"/>
    <cellStyle name="Millares 145 2 2 2" xfId="11874" xr:uid="{3F713E86-3974-4415-9F9B-15031319011A}"/>
    <cellStyle name="Millares 145 2 3" xfId="8954" xr:uid="{AFF10EAE-41E8-420F-A20C-F75E3D660494}"/>
    <cellStyle name="Millares 145 3" xfId="1710" xr:uid="{54F9458F-7FA8-45B7-9D90-49E2D3A36D7A}"/>
    <cellStyle name="Millares 145 3 2" xfId="4670" xr:uid="{42EA3843-CD76-4A87-B4A8-C404A7A0DF2F}"/>
    <cellStyle name="Millares 145 3 2 2" xfId="12238" xr:uid="{EE3932AB-E538-4A1F-9CE7-2D636581F060}"/>
    <cellStyle name="Millares 145 3 3" xfId="9318" xr:uid="{1F78A6FE-A548-4E20-89A6-99773EB47D48}"/>
    <cellStyle name="Millares 145 4" xfId="2089" xr:uid="{2CE64212-3179-439D-B0C2-CFA9DB857A98}"/>
    <cellStyle name="Millares 145 4 2" xfId="5048" xr:uid="{149D7A99-68E7-4FED-A695-D4E3A54B19B1}"/>
    <cellStyle name="Millares 145 4 2 2" xfId="12616" xr:uid="{0E9F4E39-1638-40CE-A549-4B542BBE480E}"/>
    <cellStyle name="Millares 145 4 3" xfId="9696" xr:uid="{D14BB019-B486-47B9-B18D-2BCDA51DC205}"/>
    <cellStyle name="Millares 145 5" xfId="3775" xr:uid="{FFE9AC18-06A1-4612-86F7-D89A25E8EE9B}"/>
    <cellStyle name="Millares 145 5 2" xfId="11343" xr:uid="{BE719F8C-E12F-4D12-B28C-95881E91DB7A}"/>
    <cellStyle name="Millares 145 6" xfId="8423" xr:uid="{69BA3035-EAEA-4568-B247-0506FC29E90B}"/>
    <cellStyle name="Millares 146" xfId="622" xr:uid="{30FEB8CD-0A2A-469A-AE1E-C129519B1438}"/>
    <cellStyle name="Millares 146 2" xfId="1348" xr:uid="{7BF5528D-8987-4EED-8E4D-12124C8D9E36}"/>
    <cellStyle name="Millares 146 2 2" xfId="4308" xr:uid="{C188B9AD-E33A-4BD3-98F2-492B20468B57}"/>
    <cellStyle name="Millares 146 2 2 2" xfId="11876" xr:uid="{5F808F46-1C6A-48CE-87C1-B8461327942F}"/>
    <cellStyle name="Millares 146 2 3" xfId="8956" xr:uid="{53143292-290E-49DF-AC15-02016181A474}"/>
    <cellStyle name="Millares 146 3" xfId="1712" xr:uid="{2E065D05-4A47-431E-9F56-5AE93409EF2B}"/>
    <cellStyle name="Millares 146 3 2" xfId="4672" xr:uid="{96BD7C89-1F1B-4869-8CEF-BE9AB59E0FE0}"/>
    <cellStyle name="Millares 146 3 2 2" xfId="12240" xr:uid="{FE85A375-857D-42E2-8FA3-ECFCA5211C97}"/>
    <cellStyle name="Millares 146 3 3" xfId="9320" xr:uid="{5DDC7A3D-17AC-4C35-B502-F6ED7ED586E3}"/>
    <cellStyle name="Millares 146 4" xfId="2091" xr:uid="{1F0655D6-79F4-4609-BC32-B0B1033EB7AD}"/>
    <cellStyle name="Millares 146 4 2" xfId="5050" xr:uid="{E853D445-9720-4792-AD16-2B16E8236375}"/>
    <cellStyle name="Millares 146 4 2 2" xfId="12618" xr:uid="{F2037638-813C-4058-A096-81CFCADA0FCF}"/>
    <cellStyle name="Millares 146 4 3" xfId="9698" xr:uid="{4C83D633-D1AF-46E3-AB01-25B5445E8AA5}"/>
    <cellStyle name="Millares 146 5" xfId="3777" xr:uid="{91D488EA-DE89-42CE-9627-B0BAD0527BF9}"/>
    <cellStyle name="Millares 146 5 2" xfId="11345" xr:uid="{38C9F757-B981-4262-BF4F-C36E18754312}"/>
    <cellStyle name="Millares 146 6" xfId="8425" xr:uid="{40FED315-8911-4737-9AEE-C17ABCA801B8}"/>
    <cellStyle name="Millares 147" xfId="625" xr:uid="{202A1243-058B-49D7-86AA-FFD131EDB570}"/>
    <cellStyle name="Millares 147 2" xfId="1350" xr:uid="{E36C64E8-2D43-4E95-91FB-8B4220D6B1FB}"/>
    <cellStyle name="Millares 147 2 2" xfId="4310" xr:uid="{51DD290E-85C9-497E-9D7A-FF85D5E078A3}"/>
    <cellStyle name="Millares 147 2 2 2" xfId="11878" xr:uid="{A0646D3F-251F-4164-8CF9-D88F3CE4B899}"/>
    <cellStyle name="Millares 147 2 3" xfId="8958" xr:uid="{277DA888-7D15-405B-BFAD-2927669A85CE}"/>
    <cellStyle name="Millares 147 3" xfId="1714" xr:uid="{5735A19F-7801-43F1-8EAB-643CD7EA349A}"/>
    <cellStyle name="Millares 147 3 2" xfId="4674" xr:uid="{4B757F8B-219E-4000-A815-ABBB8649B18A}"/>
    <cellStyle name="Millares 147 3 2 2" xfId="12242" xr:uid="{DBF01C60-7A86-4078-881B-4E3C3AA40369}"/>
    <cellStyle name="Millares 147 3 3" xfId="9322" xr:uid="{4F833B9C-E04A-4339-BDE7-95ADF47F9D11}"/>
    <cellStyle name="Millares 147 4" xfId="2093" xr:uid="{547BA1D8-E08C-442B-AC83-4242FAF4BA7E}"/>
    <cellStyle name="Millares 147 4 2" xfId="5052" xr:uid="{C137BA8D-D264-429D-BA12-3F138A61F655}"/>
    <cellStyle name="Millares 147 4 2 2" xfId="12620" xr:uid="{2DC09309-D5F7-4F80-8275-4732811F80BF}"/>
    <cellStyle name="Millares 147 4 3" xfId="9700" xr:uid="{3C4ABEA5-0423-4F82-92C4-F151F76B41B4}"/>
    <cellStyle name="Millares 147 5" xfId="3779" xr:uid="{CF4CCA61-6182-4071-917D-86C3FF995F3F}"/>
    <cellStyle name="Millares 147 5 2" xfId="11347" xr:uid="{A2769951-514C-4C90-8C50-3B45258F9BCF}"/>
    <cellStyle name="Millares 147 6" xfId="8427" xr:uid="{02C6E23E-8E8E-44B8-8E32-EABC3E2995B8}"/>
    <cellStyle name="Millares 148" xfId="628" xr:uid="{740EA789-CF40-4028-BF08-C4685C795446}"/>
    <cellStyle name="Millares 148 2" xfId="1352" xr:uid="{CB5092D3-E2FA-4702-8E25-7F667256C3D6}"/>
    <cellStyle name="Millares 148 2 2" xfId="4312" xr:uid="{28F2A4E0-0E9E-4515-AC7A-9E947304FF27}"/>
    <cellStyle name="Millares 148 2 2 2" xfId="11880" xr:uid="{637246C7-3F46-449F-A6C1-18BDF940129E}"/>
    <cellStyle name="Millares 148 2 3" xfId="8960" xr:uid="{89A83310-CD16-49B5-AD3E-3B0EF1D07F46}"/>
    <cellStyle name="Millares 148 3" xfId="1716" xr:uid="{BEA32DCE-8E05-4E1F-BDFD-CAB206FBFB4B}"/>
    <cellStyle name="Millares 148 3 2" xfId="4676" xr:uid="{868F157E-8830-4503-899C-80CB4DBBBF95}"/>
    <cellStyle name="Millares 148 3 2 2" xfId="12244" xr:uid="{C471DD34-73A3-4E0C-85F7-155C56168E9B}"/>
    <cellStyle name="Millares 148 3 3" xfId="9324" xr:uid="{41C7BE32-A677-4C9F-94DA-2FD837F352F5}"/>
    <cellStyle name="Millares 148 4" xfId="2095" xr:uid="{80D4F9F2-BC0E-49C1-83B1-CED89DD6FC70}"/>
    <cellStyle name="Millares 148 4 2" xfId="5054" xr:uid="{94580575-A5C9-4101-B169-8381654EEC3E}"/>
    <cellStyle name="Millares 148 4 2 2" xfId="12622" xr:uid="{0FAB8E94-6634-4986-A823-434F34118A5B}"/>
    <cellStyle name="Millares 148 4 3" xfId="9702" xr:uid="{204A3B7B-F870-4A47-BACB-77B2DB6CCB58}"/>
    <cellStyle name="Millares 148 5" xfId="3781" xr:uid="{8071596D-AFDA-4208-A2BF-E714FD78C235}"/>
    <cellStyle name="Millares 148 5 2" xfId="11349" xr:uid="{58C8F279-3EFF-4BDC-917D-19E74F99E79B}"/>
    <cellStyle name="Millares 148 6" xfId="8429" xr:uid="{C7B3D0B6-2E96-4F53-9823-F847AC02AC4B}"/>
    <cellStyle name="Millares 149" xfId="631" xr:uid="{69596D4D-9F7A-4F37-94AB-0474E1CA4ECE}"/>
    <cellStyle name="Millares 149 2" xfId="1354" xr:uid="{674BC15F-2030-4102-AB54-3EBD9DE97C45}"/>
    <cellStyle name="Millares 149 2 2" xfId="4314" xr:uid="{6066B10E-5C03-4A62-A730-EDAF4018AA9D}"/>
    <cellStyle name="Millares 149 2 2 2" xfId="11882" xr:uid="{E7FEE919-532B-4E48-B4E3-AE8FA5DB05C5}"/>
    <cellStyle name="Millares 149 2 3" xfId="8962" xr:uid="{845CAEE5-2AB7-4721-8767-E2B03084BB34}"/>
    <cellStyle name="Millares 149 3" xfId="1718" xr:uid="{9386A2D2-8513-455B-B4D6-6A53F08A7461}"/>
    <cellStyle name="Millares 149 3 2" xfId="4678" xr:uid="{2B5EFEDE-B71C-4564-8E04-6A812904A0F2}"/>
    <cellStyle name="Millares 149 3 2 2" xfId="12246" xr:uid="{2C3FF6D5-1396-4337-B73A-8773982294B5}"/>
    <cellStyle name="Millares 149 3 3" xfId="9326" xr:uid="{EB916008-5370-4B32-AABA-E07137548D5F}"/>
    <cellStyle name="Millares 149 4" xfId="2097" xr:uid="{3F582E9F-150C-40E2-8ACC-D3774BC0D26E}"/>
    <cellStyle name="Millares 149 4 2" xfId="5056" xr:uid="{53E94185-E781-45C7-95B9-8BC058B904D8}"/>
    <cellStyle name="Millares 149 4 2 2" xfId="12624" xr:uid="{81C96EA8-B510-4271-AADF-5CD3D7EEEEE5}"/>
    <cellStyle name="Millares 149 4 3" xfId="9704" xr:uid="{EDE59246-EE06-4197-BD81-7779465B46B7}"/>
    <cellStyle name="Millares 149 5" xfId="3783" xr:uid="{770D64B5-9FA6-4CAB-A302-115355CABF1E}"/>
    <cellStyle name="Millares 149 5 2" xfId="11351" xr:uid="{7D09BF6B-9D09-43FC-AADD-E1039F376578}"/>
    <cellStyle name="Millares 149 6" xfId="8431" xr:uid="{F2735298-B56D-44D5-86B3-C58A7E11F527}"/>
    <cellStyle name="Millares 15" xfId="228" xr:uid="{F3D5DF18-7E3A-4A38-AC74-4156FADF71CF}"/>
    <cellStyle name="Millares 15 2" xfId="1086" xr:uid="{E7D99654-8964-4CDB-BF30-44039B016603}"/>
    <cellStyle name="Millares 15 2 2" xfId="4046" xr:uid="{E0143053-8BC9-4980-8B4E-7D94F0E74733}"/>
    <cellStyle name="Millares 15 2 2 2" xfId="11614" xr:uid="{C9AD6623-BB30-4C5C-A6A1-5F0BE26943C7}"/>
    <cellStyle name="Millares 15 2 3" xfId="8694" xr:uid="{69F64FE2-89B2-4D06-A812-3233B12B2176}"/>
    <cellStyle name="Millares 15 3" xfId="1450" xr:uid="{B7AD2650-0FC3-4694-BDF9-4FDFAAADC819}"/>
    <cellStyle name="Millares 15 3 2" xfId="4410" xr:uid="{22AE262B-4BF2-49BE-B70A-B9EC07BA9D3B}"/>
    <cellStyle name="Millares 15 3 2 2" xfId="11978" xr:uid="{E565BE55-9F25-4E09-A69C-343DBA2578CC}"/>
    <cellStyle name="Millares 15 3 3" xfId="9058" xr:uid="{B44F9399-1A47-47A8-88E6-3C236D512D85}"/>
    <cellStyle name="Millares 15 4" xfId="1829" xr:uid="{FE74CAFC-40C8-4DD4-93EF-36CC898CD4D8}"/>
    <cellStyle name="Millares 15 4 2" xfId="4788" xr:uid="{3AEEAC04-4952-4185-8A93-212A0CCC5D83}"/>
    <cellStyle name="Millares 15 4 2 2" xfId="12356" xr:uid="{FBBB2CF1-87CC-45E9-9565-941EBD97F381}"/>
    <cellStyle name="Millares 15 4 3" xfId="9436" xr:uid="{E49077C4-8B69-4C77-A0A8-88145140239C}"/>
    <cellStyle name="Millares 15 5" xfId="3515" xr:uid="{42E61EEE-81FE-4D41-A6D3-81F18A630E4E}"/>
    <cellStyle name="Millares 15 5 2" xfId="11083" xr:uid="{9C6B0C7A-F8F3-4ABC-B926-6F786D87A3A6}"/>
    <cellStyle name="Millares 15 6" xfId="8163" xr:uid="{559663B5-57F2-4136-88AC-C1F1E225D715}"/>
    <cellStyle name="Millares 150" xfId="634" xr:uid="{865A3D29-6C0D-41DD-AA1B-528FF38E17E7}"/>
    <cellStyle name="Millares 150 2" xfId="1356" xr:uid="{8B27C1BE-451A-4402-821A-1E3CC6D0905C}"/>
    <cellStyle name="Millares 150 2 2" xfId="4316" xr:uid="{03D73388-26AF-4340-BD64-A2184B84A091}"/>
    <cellStyle name="Millares 150 2 2 2" xfId="11884" xr:uid="{7D807B41-E6E7-4061-AEEA-A4ECC199C66C}"/>
    <cellStyle name="Millares 150 2 3" xfId="8964" xr:uid="{E1574C24-6124-4212-9936-CEF5F5ECB2AA}"/>
    <cellStyle name="Millares 150 3" xfId="1720" xr:uid="{AED5BE2B-1CC4-447A-A6DE-208A82B41D97}"/>
    <cellStyle name="Millares 150 3 2" xfId="4680" xr:uid="{D1C4BA71-0E7A-4716-AF53-F9E501BFEF92}"/>
    <cellStyle name="Millares 150 3 2 2" xfId="12248" xr:uid="{D4AE8D45-1A94-4A54-8C76-ED83771C317E}"/>
    <cellStyle name="Millares 150 3 3" xfId="9328" xr:uid="{3AB3C1EE-2600-453E-AC1B-642A50D3F7CB}"/>
    <cellStyle name="Millares 150 4" xfId="2099" xr:uid="{7B163F08-D6E2-4C2D-B76D-6201E1F5718B}"/>
    <cellStyle name="Millares 150 4 2" xfId="5058" xr:uid="{948C851B-4E43-49C8-A91D-29033FAD331F}"/>
    <cellStyle name="Millares 150 4 2 2" xfId="12626" xr:uid="{D59D0612-B816-47F3-981B-1916BA7791FD}"/>
    <cellStyle name="Millares 150 4 3" xfId="9706" xr:uid="{3222B141-1FEA-4755-AEF2-9E3B0400C131}"/>
    <cellStyle name="Millares 150 5" xfId="3785" xr:uid="{7D0622DC-8674-445B-83E5-13678BC7E960}"/>
    <cellStyle name="Millares 150 5 2" xfId="11353" xr:uid="{E8A9EF8C-1195-414B-A989-02E402455C8D}"/>
    <cellStyle name="Millares 150 6" xfId="8433" xr:uid="{3932DFAE-888C-4970-BCC2-2FED3925EC31}"/>
    <cellStyle name="Millares 151" xfId="637" xr:uid="{7F9C6AC6-F1BB-49AA-A7C4-CE4F9C737636}"/>
    <cellStyle name="Millares 151 2" xfId="1358" xr:uid="{5145028E-F08D-4D16-A101-8E38D396E502}"/>
    <cellStyle name="Millares 151 2 2" xfId="4318" xr:uid="{D21F5BDD-3AC8-48F5-8CEF-41C3F78EED3A}"/>
    <cellStyle name="Millares 151 2 2 2" xfId="11886" xr:uid="{C0BBF01C-C844-4C11-BC0B-D26F6D49DCA3}"/>
    <cellStyle name="Millares 151 2 3" xfId="8966" xr:uid="{8761269D-BCC9-40B7-BD05-3F6628D84A5C}"/>
    <cellStyle name="Millares 151 3" xfId="1722" xr:uid="{78B06877-63E2-4E74-88D1-989ED5C7CFE8}"/>
    <cellStyle name="Millares 151 3 2" xfId="4682" xr:uid="{A437FE97-89F2-407A-A017-92A7BB5E1CC1}"/>
    <cellStyle name="Millares 151 3 2 2" xfId="12250" xr:uid="{0D4A2666-E370-4259-9DDB-6118DCC74C31}"/>
    <cellStyle name="Millares 151 3 3" xfId="9330" xr:uid="{BBE99F66-37D6-4813-87FA-813CE0AFD767}"/>
    <cellStyle name="Millares 151 4" xfId="2101" xr:uid="{D73777DE-8EAF-48BE-9004-A83D3AFB47EB}"/>
    <cellStyle name="Millares 151 4 2" xfId="5060" xr:uid="{772117D8-E983-41AE-AB14-041E98B3CC02}"/>
    <cellStyle name="Millares 151 4 2 2" xfId="12628" xr:uid="{135FEB6C-4AF7-4E7D-98F0-5E6773189C8B}"/>
    <cellStyle name="Millares 151 4 3" xfId="9708" xr:uid="{EC5F38FD-1F21-4CD6-8B3C-8C20BB94C153}"/>
    <cellStyle name="Millares 151 5" xfId="3787" xr:uid="{DAA05976-0A92-40B6-B234-6840793DFCD6}"/>
    <cellStyle name="Millares 151 5 2" xfId="11355" xr:uid="{F86784DF-A01F-4963-94AD-F8A7AD57EFD5}"/>
    <cellStyle name="Millares 151 6" xfId="8435" xr:uid="{7CE4C6F1-A960-444A-B71B-E1B89E453510}"/>
    <cellStyle name="Millares 152" xfId="640" xr:uid="{8BFDA047-16A6-46F8-A596-7FB378D9DFBF}"/>
    <cellStyle name="Millares 152 2" xfId="1360" xr:uid="{342E9866-9B54-4106-8390-B6053B3A3121}"/>
    <cellStyle name="Millares 152 2 2" xfId="4320" xr:uid="{5224C86C-19DA-4CAE-8059-AF35FCFEBD51}"/>
    <cellStyle name="Millares 152 2 2 2" xfId="11888" xr:uid="{2BE00B77-10CF-452E-818C-D766416E2A60}"/>
    <cellStyle name="Millares 152 2 3" xfId="8968" xr:uid="{73718550-0A88-4105-8B2B-8C8C60E1A018}"/>
    <cellStyle name="Millares 152 3" xfId="1724" xr:uid="{7B17766A-4D7B-45E3-B1BD-DB7A7156CB32}"/>
    <cellStyle name="Millares 152 3 2" xfId="4684" xr:uid="{1BA89DF1-40DB-4329-8858-52CC12C5EE69}"/>
    <cellStyle name="Millares 152 3 2 2" xfId="12252" xr:uid="{09365C7E-7568-4ABF-8AE8-E5B390BFA976}"/>
    <cellStyle name="Millares 152 3 3" xfId="9332" xr:uid="{8CDC2E3F-C9BA-46B9-A61B-08F51AE9B0A4}"/>
    <cellStyle name="Millares 152 4" xfId="2103" xr:uid="{DD838F78-4DA4-4B5D-B360-D4D6773FA62A}"/>
    <cellStyle name="Millares 152 4 2" xfId="5062" xr:uid="{6858BFDD-21B5-4A63-B73B-9A145FF2C118}"/>
    <cellStyle name="Millares 152 4 2 2" xfId="12630" xr:uid="{60408268-0E04-461B-AE50-1D26AEA02272}"/>
    <cellStyle name="Millares 152 4 3" xfId="9710" xr:uid="{45992B34-E83C-4931-B957-F2FEE55453CE}"/>
    <cellStyle name="Millares 152 5" xfId="3789" xr:uid="{B652CC40-D169-4370-B229-B98D5AA42DAA}"/>
    <cellStyle name="Millares 152 5 2" xfId="11357" xr:uid="{ABAB81C1-30C4-47A0-A20C-72690DDF530D}"/>
    <cellStyle name="Millares 152 6" xfId="8437" xr:uid="{A94B1765-5CC8-43D9-AFB0-AF9AE27591FB}"/>
    <cellStyle name="Millares 153" xfId="643" xr:uid="{3B93132F-6AC0-4D74-B446-08CC13205E9F}"/>
    <cellStyle name="Millares 153 2" xfId="1362" xr:uid="{FA4B437A-BCC5-4653-95E9-A96D0052130B}"/>
    <cellStyle name="Millares 153 2 2" xfId="4322" xr:uid="{54F2AE9B-7BEF-46BA-B431-959004ECBAC1}"/>
    <cellStyle name="Millares 153 2 2 2" xfId="11890" xr:uid="{7780BDE1-ED1F-401E-A9C7-0299D69A7944}"/>
    <cellStyle name="Millares 153 2 3" xfId="8970" xr:uid="{2193B6D7-7271-4FA2-850D-001C2329895C}"/>
    <cellStyle name="Millares 153 3" xfId="1726" xr:uid="{9425666A-D05C-41DF-89A3-EBD629A69898}"/>
    <cellStyle name="Millares 153 3 2" xfId="4686" xr:uid="{07771264-ED83-42E1-8525-CF77FD3BFF58}"/>
    <cellStyle name="Millares 153 3 2 2" xfId="12254" xr:uid="{90E04737-813D-489C-ADF4-69AFD59A4CE4}"/>
    <cellStyle name="Millares 153 3 3" xfId="9334" xr:uid="{84DBEB85-AFCF-4967-BD19-EEE87BA5FB90}"/>
    <cellStyle name="Millares 153 4" xfId="2105" xr:uid="{F1E2D783-6C1F-41F3-A652-57FB55786768}"/>
    <cellStyle name="Millares 153 4 2" xfId="5064" xr:uid="{7E48C983-55E4-4A24-BF6E-BC7C02D8C690}"/>
    <cellStyle name="Millares 153 4 2 2" xfId="12632" xr:uid="{C1958B58-7066-4107-8CBD-2CB9ABF8B601}"/>
    <cellStyle name="Millares 153 4 3" xfId="9712" xr:uid="{4BF0A1B7-4C68-4B30-AAF2-A40A52252E48}"/>
    <cellStyle name="Millares 153 5" xfId="3791" xr:uid="{D99DC1CE-EE36-48F7-888E-50C07E35C973}"/>
    <cellStyle name="Millares 153 5 2" xfId="11359" xr:uid="{D08B6336-8B63-4804-BA21-6E14754F9AE6}"/>
    <cellStyle name="Millares 153 6" xfId="8439" xr:uid="{98748F9A-4247-4E72-8E45-679A78F5349E}"/>
    <cellStyle name="Millares 154" xfId="646" xr:uid="{C4F58FD4-AF4C-48BD-946D-0736C5296ED7}"/>
    <cellStyle name="Millares 154 2" xfId="1364" xr:uid="{E9DE3246-5862-4401-BE54-B05981A34DB3}"/>
    <cellStyle name="Millares 154 2 2" xfId="4324" xr:uid="{D35C2B4B-951A-4479-8D85-8125292EEB90}"/>
    <cellStyle name="Millares 154 2 2 2" xfId="11892" xr:uid="{6FCBA1FA-54A7-4652-AB30-717BA64C3353}"/>
    <cellStyle name="Millares 154 2 3" xfId="8972" xr:uid="{83D9C4BC-C4FF-4C14-9C4B-97D421098797}"/>
    <cellStyle name="Millares 154 3" xfId="1728" xr:uid="{F0149F88-6C5E-4969-BD1F-AC03D32617EA}"/>
    <cellStyle name="Millares 154 3 2" xfId="4688" xr:uid="{BC6C33F0-864B-48E3-A71E-0217CF4AF60D}"/>
    <cellStyle name="Millares 154 3 2 2" xfId="12256" xr:uid="{64CE2B0C-B3C6-452A-AF39-76493A216009}"/>
    <cellStyle name="Millares 154 3 3" xfId="9336" xr:uid="{DF07B938-590A-4C33-B771-1FB9C08635E0}"/>
    <cellStyle name="Millares 154 4" xfId="2107" xr:uid="{734619EB-E931-42FA-8868-C175351CC005}"/>
    <cellStyle name="Millares 154 4 2" xfId="5066" xr:uid="{8A3DA323-4758-4E3C-B82E-209112771E5C}"/>
    <cellStyle name="Millares 154 4 2 2" xfId="12634" xr:uid="{3A5B35EE-7651-49D2-8FD5-64DF837D6B26}"/>
    <cellStyle name="Millares 154 4 3" xfId="9714" xr:uid="{0FF4EB66-FADC-44A6-AD7C-6F54EE8D3316}"/>
    <cellStyle name="Millares 154 5" xfId="3793" xr:uid="{4A221202-565A-4091-956E-62AA5FDA4960}"/>
    <cellStyle name="Millares 154 5 2" xfId="11361" xr:uid="{CDC6A961-BF76-42F7-B9BF-1B209DCA47A0}"/>
    <cellStyle name="Millares 154 6" xfId="8441" xr:uid="{788DED62-3674-46F8-A060-630E65F9D580}"/>
    <cellStyle name="Millares 155" xfId="649" xr:uid="{EF991F8C-78CF-460F-B92D-CCA6B4BB3279}"/>
    <cellStyle name="Millares 155 2" xfId="1366" xr:uid="{0030A120-5339-4473-B10E-0E3CFE70815A}"/>
    <cellStyle name="Millares 155 2 2" xfId="4326" xr:uid="{3923C88E-D434-4B76-9A69-912DBA8E3AC2}"/>
    <cellStyle name="Millares 155 2 2 2" xfId="11894" xr:uid="{BDB5B05E-B192-4103-98EB-75494461C5E5}"/>
    <cellStyle name="Millares 155 2 3" xfId="8974" xr:uid="{AA170B02-C1C0-45AA-867D-D1C7607C68BE}"/>
    <cellStyle name="Millares 155 3" xfId="1730" xr:uid="{B520EE9D-F435-4136-908A-2DEE48CF0FA2}"/>
    <cellStyle name="Millares 155 3 2" xfId="4690" xr:uid="{8CAAE799-9415-4AEF-8E18-019612387A78}"/>
    <cellStyle name="Millares 155 3 2 2" xfId="12258" xr:uid="{B4CD0DC7-B31C-48E5-8E9C-7A796A540BEB}"/>
    <cellStyle name="Millares 155 3 3" xfId="9338" xr:uid="{D4829412-ED3D-49B5-8270-7EE0835C4DD1}"/>
    <cellStyle name="Millares 155 4" xfId="2109" xr:uid="{2B18BB87-525B-488F-A81A-BC04A518AD27}"/>
    <cellStyle name="Millares 155 4 2" xfId="5068" xr:uid="{80DE47FA-F04A-43DB-86B0-CE49BC2D8E07}"/>
    <cellStyle name="Millares 155 4 2 2" xfId="12636" xr:uid="{A1821B9D-1A39-4198-83DE-F5860C47D8FF}"/>
    <cellStyle name="Millares 155 4 3" xfId="9716" xr:uid="{8D8B449A-F821-4ABA-B9C3-525C7C4B44F8}"/>
    <cellStyle name="Millares 155 5" xfId="3795" xr:uid="{1B96C496-CD88-4FDF-8B8D-E96C82832D8F}"/>
    <cellStyle name="Millares 155 5 2" xfId="11363" xr:uid="{43C0E003-4F50-4B53-9BDB-68D65F2916B6}"/>
    <cellStyle name="Millares 155 6" xfId="8443" xr:uid="{A0A64969-DF8F-49B6-BE79-A84121A63DDF}"/>
    <cellStyle name="Millares 156" xfId="652" xr:uid="{1DA0AF39-20E0-4F60-BCFD-C7ECC37E3D99}"/>
    <cellStyle name="Millares 156 2" xfId="1368" xr:uid="{DDB0BCDA-5807-422C-8645-3CCCBD5E0E02}"/>
    <cellStyle name="Millares 156 2 2" xfId="4328" xr:uid="{E72EEC74-23DD-4A04-9BE8-22FCEBF60E7F}"/>
    <cellStyle name="Millares 156 2 2 2" xfId="11896" xr:uid="{DFAAA8C5-5B30-4C80-9723-4BFBF82A7F82}"/>
    <cellStyle name="Millares 156 2 3" xfId="8976" xr:uid="{6DF25884-F6D3-46B0-BC23-F02D58866EB3}"/>
    <cellStyle name="Millares 156 3" xfId="1732" xr:uid="{2A4CF984-EFD5-401D-A71D-140348569CCD}"/>
    <cellStyle name="Millares 156 3 2" xfId="4692" xr:uid="{F2408FE5-36E6-4FEA-96C0-057EE694B7EE}"/>
    <cellStyle name="Millares 156 3 2 2" xfId="12260" xr:uid="{FE6F48A5-885F-434E-BD59-2801358F2F4C}"/>
    <cellStyle name="Millares 156 3 3" xfId="9340" xr:uid="{C220B305-364D-4F24-8C89-A2D5EB39AA71}"/>
    <cellStyle name="Millares 156 4" xfId="2111" xr:uid="{565FCBB7-F434-48DF-8CC7-E5D3560979C8}"/>
    <cellStyle name="Millares 156 4 2" xfId="5070" xr:uid="{E849800B-3992-4222-8FF4-9F0E9CE2C4A8}"/>
    <cellStyle name="Millares 156 4 2 2" xfId="12638" xr:uid="{B19F7C7E-1928-4BE0-A7C8-35AE8159A150}"/>
    <cellStyle name="Millares 156 4 3" xfId="9718" xr:uid="{2E9FCD63-A785-4E89-8BD6-33FB58D1C73E}"/>
    <cellStyle name="Millares 156 5" xfId="3797" xr:uid="{F5857B44-3AE6-4A0A-AF80-75B20D68F77F}"/>
    <cellStyle name="Millares 156 5 2" xfId="11365" xr:uid="{1D11FFD6-FFC9-4251-8093-E60DAE70867E}"/>
    <cellStyle name="Millares 156 6" xfId="8445" xr:uid="{643C70C3-0FB2-4808-B072-74D3B86E18C6}"/>
    <cellStyle name="Millares 157" xfId="655" xr:uid="{A204B186-F0FD-4BBF-9914-9CDD657D5F19}"/>
    <cellStyle name="Millares 157 2" xfId="1370" xr:uid="{70D6E5D4-46C7-4AF2-95A5-E7231A3A3124}"/>
    <cellStyle name="Millares 157 2 2" xfId="4330" xr:uid="{1EAFDF20-6F5C-4EE8-A1D8-571A795271B3}"/>
    <cellStyle name="Millares 157 2 2 2" xfId="11898" xr:uid="{CF3B4A2D-22BF-4B5A-9676-6DA33DFF0214}"/>
    <cellStyle name="Millares 157 2 3" xfId="8978" xr:uid="{0EF03705-BFB9-4F25-B9AE-93A78A92B8ED}"/>
    <cellStyle name="Millares 157 3" xfId="1734" xr:uid="{B88EADF0-E695-4250-9F84-A6F97B651FB3}"/>
    <cellStyle name="Millares 157 3 2" xfId="4694" xr:uid="{3E3E67E2-26A1-40EC-8EA5-104BBA06B602}"/>
    <cellStyle name="Millares 157 3 2 2" xfId="12262" xr:uid="{4AA0D6AA-919B-4717-AA2F-AEA400B5792D}"/>
    <cellStyle name="Millares 157 3 3" xfId="9342" xr:uid="{8E6E7664-B07D-4BB8-8E07-C830F427F50D}"/>
    <cellStyle name="Millares 157 4" xfId="2113" xr:uid="{E7627952-A895-4C23-BB22-D7FD78E58997}"/>
    <cellStyle name="Millares 157 4 2" xfId="5072" xr:uid="{E79C4AEE-26EF-44D5-8F4B-41D18BF33D1A}"/>
    <cellStyle name="Millares 157 4 2 2" xfId="12640" xr:uid="{E988D587-1A65-4239-843B-5AE4059F46E8}"/>
    <cellStyle name="Millares 157 4 3" xfId="9720" xr:uid="{5EEFB099-1BB4-4DFF-933A-C522C2DCE06D}"/>
    <cellStyle name="Millares 157 5" xfId="3799" xr:uid="{A80CFEF6-8A2C-40FD-9904-8DEB7A8CFBA6}"/>
    <cellStyle name="Millares 157 5 2" xfId="11367" xr:uid="{5BD2E729-294D-4471-8AC6-47E169DC6A06}"/>
    <cellStyle name="Millares 157 6" xfId="8447" xr:uid="{5299A65E-FF12-482F-9C34-9206797251FD}"/>
    <cellStyle name="Millares 158" xfId="658" xr:uid="{1ABC3CF7-C854-42E7-A59B-9D654C12C23E}"/>
    <cellStyle name="Millares 158 2" xfId="1372" xr:uid="{BE566C0B-E5A8-441D-8F91-37BAD3ABFC0E}"/>
    <cellStyle name="Millares 158 2 2" xfId="4332" xr:uid="{47518A4E-2D30-4238-883D-765D4BB246F7}"/>
    <cellStyle name="Millares 158 2 2 2" xfId="11900" xr:uid="{73B03065-E4E2-4C68-8A95-757C35ADCC67}"/>
    <cellStyle name="Millares 158 2 3" xfId="8980" xr:uid="{0BBE19CD-C2CA-42E0-949D-B073BDB497E7}"/>
    <cellStyle name="Millares 158 3" xfId="1736" xr:uid="{7229DEBE-AFE2-4319-8CFC-3387C2B23B1B}"/>
    <cellStyle name="Millares 158 3 2" xfId="4696" xr:uid="{8324A72A-E4A8-4DB2-A9A9-10DC32457C89}"/>
    <cellStyle name="Millares 158 3 2 2" xfId="12264" xr:uid="{E43A246A-DEFF-453C-86C1-4628C9CEE31E}"/>
    <cellStyle name="Millares 158 3 3" xfId="9344" xr:uid="{30CAE82E-99A3-4B2F-B99C-129B9F3E8D28}"/>
    <cellStyle name="Millares 158 4" xfId="2115" xr:uid="{B2CB82DA-3C36-4726-A22B-BFC50F0E0168}"/>
    <cellStyle name="Millares 158 4 2" xfId="5074" xr:uid="{0A1BA664-9E91-4C0E-A2DB-4B1DBD4FAF85}"/>
    <cellStyle name="Millares 158 4 2 2" xfId="12642" xr:uid="{08E1E3A0-B421-4D78-9F62-9B7BC5898365}"/>
    <cellStyle name="Millares 158 4 3" xfId="9722" xr:uid="{B504AFD0-D7ED-4277-85C5-28DE691DBD58}"/>
    <cellStyle name="Millares 158 5" xfId="3801" xr:uid="{C9D4B6AC-20D4-4793-8CD7-5D234F198906}"/>
    <cellStyle name="Millares 158 5 2" xfId="11369" xr:uid="{8C506FBF-70B7-4305-AEAC-0E43618D520E}"/>
    <cellStyle name="Millares 158 6" xfId="8449" xr:uid="{B0A5F074-BDDC-4A3B-9BC7-22ADF7FA3EAF}"/>
    <cellStyle name="Millares 159" xfId="661" xr:uid="{0DF50DED-E7DF-4F54-8E4A-CE204198D4D6}"/>
    <cellStyle name="Millares 159 2" xfId="1374" xr:uid="{202CEF87-5F5D-4801-9F3D-D1678C5BE8D8}"/>
    <cellStyle name="Millares 159 2 2" xfId="4334" xr:uid="{2B69FAC7-4893-44B9-BD39-4B0561D59489}"/>
    <cellStyle name="Millares 159 2 2 2" xfId="11902" xr:uid="{6DC63353-1D2B-40D6-8AFA-BA90D8B31B6C}"/>
    <cellStyle name="Millares 159 2 3" xfId="8982" xr:uid="{ADA0D8FF-9ACB-4CF5-9AD4-BA700F6FD6F6}"/>
    <cellStyle name="Millares 159 3" xfId="1738" xr:uid="{A827172C-9A47-4CCA-AE77-F7CB4FA67961}"/>
    <cellStyle name="Millares 159 3 2" xfId="4698" xr:uid="{2E01F922-A414-46D3-8888-A554213388D2}"/>
    <cellStyle name="Millares 159 3 2 2" xfId="12266" xr:uid="{34E19280-B6E4-440F-9334-338791BCA5FA}"/>
    <cellStyle name="Millares 159 3 3" xfId="9346" xr:uid="{B70E2445-1649-4624-B2F5-BDE5D7F96504}"/>
    <cellStyle name="Millares 159 4" xfId="2117" xr:uid="{EB9FD444-FA4E-4AEF-A758-8080A32B0CCB}"/>
    <cellStyle name="Millares 159 4 2" xfId="5076" xr:uid="{F14AD3F4-5645-4ABF-9205-3621820A0917}"/>
    <cellStyle name="Millares 159 4 2 2" xfId="12644" xr:uid="{4D7089FD-4919-44EC-A248-DF1DA8BF2DB2}"/>
    <cellStyle name="Millares 159 4 3" xfId="9724" xr:uid="{C22EFC16-39BF-4DA0-B370-7C73A6ADEA27}"/>
    <cellStyle name="Millares 159 5" xfId="3803" xr:uid="{C72A34EE-525E-4817-AF08-763D20BD2ADA}"/>
    <cellStyle name="Millares 159 5 2" xfId="11371" xr:uid="{C7E84B70-A732-471B-A220-E0B1336C5583}"/>
    <cellStyle name="Millares 159 6" xfId="8451" xr:uid="{690A30E4-DA46-4DCA-832D-4A4274B39413}"/>
    <cellStyle name="Millares 16" xfId="231" xr:uid="{117DB427-148A-4A9E-BEA5-7CF4BC9B9545}"/>
    <cellStyle name="Millares 16 2" xfId="1088" xr:uid="{816FCE7E-D0D9-41CC-83A1-DC07453AE39A}"/>
    <cellStyle name="Millares 16 2 2" xfId="4048" xr:uid="{DD7E5BCA-B81E-4715-B871-69A048623968}"/>
    <cellStyle name="Millares 16 2 2 2" xfId="11616" xr:uid="{82980727-B5E4-4B28-A2D8-6EC8B286190A}"/>
    <cellStyle name="Millares 16 2 3" xfId="8696" xr:uid="{C1D9EA05-9750-471E-8EF4-16D7CBA76614}"/>
    <cellStyle name="Millares 16 3" xfId="1452" xr:uid="{EFA5049F-4982-4EAF-A138-4D8DDE82FA28}"/>
    <cellStyle name="Millares 16 3 2" xfId="4412" xr:uid="{F24F6FD6-855B-4FEA-85C8-FA7EC06D5AAC}"/>
    <cellStyle name="Millares 16 3 2 2" xfId="11980" xr:uid="{EB70021F-9865-4710-BD7A-1535E35CCF91}"/>
    <cellStyle name="Millares 16 3 3" xfId="9060" xr:uid="{2803D700-781F-4CA4-99CE-391164B757EE}"/>
    <cellStyle name="Millares 16 4" xfId="1831" xr:uid="{9D08EA8D-4556-48E9-B8C3-1C23C1EE46C4}"/>
    <cellStyle name="Millares 16 4 2" xfId="4790" xr:uid="{CE524B55-8FFA-48FD-9478-EC750158BC09}"/>
    <cellStyle name="Millares 16 4 2 2" xfId="12358" xr:uid="{81B4FBAE-D412-4143-869B-EEE587ECCA61}"/>
    <cellStyle name="Millares 16 4 3" xfId="9438" xr:uid="{35BC2F97-0E31-44AC-9AC6-00A248F25BE0}"/>
    <cellStyle name="Millares 16 5" xfId="3517" xr:uid="{59A6B2C2-4B17-43BF-88EA-5909ABD72076}"/>
    <cellStyle name="Millares 16 5 2" xfId="11085" xr:uid="{CA2A678A-3341-48A1-9537-7E9A1B746734}"/>
    <cellStyle name="Millares 16 6" xfId="8165" xr:uid="{C1DFBDE3-C986-47A8-9CBF-B11E9B2FC287}"/>
    <cellStyle name="Millares 160" xfId="664" xr:uid="{4518FEB5-D243-4D4B-AFF3-ECF89B1C8E84}"/>
    <cellStyle name="Millares 160 2" xfId="1376" xr:uid="{85CA2EFA-DFFD-46E0-8DCE-5F3FDCA4FECD}"/>
    <cellStyle name="Millares 160 2 2" xfId="4336" xr:uid="{2828F99E-5650-4D16-B603-F1823D816577}"/>
    <cellStyle name="Millares 160 2 2 2" xfId="11904" xr:uid="{42556E81-4B30-411C-896D-CE1A00B7BF40}"/>
    <cellStyle name="Millares 160 2 3" xfId="8984" xr:uid="{8E12F418-96CA-48AC-8E2C-ACA04543CC27}"/>
    <cellStyle name="Millares 160 3" xfId="1740" xr:uid="{FAB147FC-3AB0-49C3-B96E-0403791F968F}"/>
    <cellStyle name="Millares 160 3 2" xfId="4700" xr:uid="{339AF51A-404A-4536-85A9-3E2A3C15AAFD}"/>
    <cellStyle name="Millares 160 3 2 2" xfId="12268" xr:uid="{7E98DBBF-D1A9-4428-B13A-2921E9D02E74}"/>
    <cellStyle name="Millares 160 3 3" xfId="9348" xr:uid="{E544CABB-D368-4054-AE7B-56CA1AB7013F}"/>
    <cellStyle name="Millares 160 4" xfId="2119" xr:uid="{CB32F714-EE5B-4C60-9EA1-AB097AB03A59}"/>
    <cellStyle name="Millares 160 4 2" xfId="5078" xr:uid="{2990565F-C255-41D3-BAE9-41644050399B}"/>
    <cellStyle name="Millares 160 4 2 2" xfId="12646" xr:uid="{7EA474A5-2A91-45B7-9708-DEB4E12409F1}"/>
    <cellStyle name="Millares 160 4 3" xfId="9726" xr:uid="{4E629AF6-0B46-444D-9B4C-0FF3778D40E7}"/>
    <cellStyle name="Millares 160 5" xfId="3805" xr:uid="{2ECCE437-FEC7-49D7-95B1-5F3DAD97B65C}"/>
    <cellStyle name="Millares 160 5 2" xfId="11373" xr:uid="{762ACCDC-9FCC-438E-8BBD-3947F49C41AE}"/>
    <cellStyle name="Millares 160 6" xfId="8453" xr:uid="{FC30965E-F270-4A39-82B4-2E4D20851E29}"/>
    <cellStyle name="Millares 161" xfId="667" xr:uid="{18E8EC01-0231-4D42-BA5E-A7A363B49D4E}"/>
    <cellStyle name="Millares 161 2" xfId="1378" xr:uid="{20593872-1B44-4F23-A7F3-98183C853D54}"/>
    <cellStyle name="Millares 161 2 2" xfId="4338" xr:uid="{23D93E22-C1EF-4A74-9377-522B196B17CA}"/>
    <cellStyle name="Millares 161 2 2 2" xfId="11906" xr:uid="{91A1D43E-AA74-4310-90D2-EAC16DA382CD}"/>
    <cellStyle name="Millares 161 2 3" xfId="8986" xr:uid="{74DE6F51-1AC8-466A-9BF5-8B56EE804C03}"/>
    <cellStyle name="Millares 161 3" xfId="1742" xr:uid="{20FADA5E-5273-4E8B-A28A-AD2CCF32996D}"/>
    <cellStyle name="Millares 161 3 2" xfId="4702" xr:uid="{C477C85B-F841-4B07-8E03-A8B1A89BACF3}"/>
    <cellStyle name="Millares 161 3 2 2" xfId="12270" xr:uid="{D365A468-14AD-4D5F-AA24-299F1A75574F}"/>
    <cellStyle name="Millares 161 3 3" xfId="9350" xr:uid="{FE060B52-83A7-4CE2-BF44-14C8004FBF1E}"/>
    <cellStyle name="Millares 161 4" xfId="2121" xr:uid="{24D4F354-B7A8-4FB0-AED7-7B14FD68F3E8}"/>
    <cellStyle name="Millares 161 4 2" xfId="5080" xr:uid="{2621DF34-7B36-487E-926C-C5D00ABD2511}"/>
    <cellStyle name="Millares 161 4 2 2" xfId="12648" xr:uid="{FC907720-668E-4818-B9CB-52A373EBFFEC}"/>
    <cellStyle name="Millares 161 4 3" xfId="9728" xr:uid="{2E0CDBA3-6A50-470E-B6C1-BBDB6CF57CEC}"/>
    <cellStyle name="Millares 161 5" xfId="3807" xr:uid="{0DC72CCE-6C0E-4060-934F-DCCC48F48604}"/>
    <cellStyle name="Millares 161 5 2" xfId="11375" xr:uid="{FDD2107A-B686-4F3D-A05E-DCE8122C0EA0}"/>
    <cellStyle name="Millares 161 6" xfId="8455" xr:uid="{0A4778B4-C1A7-4F79-B705-141D5D9F19A9}"/>
    <cellStyle name="Millares 162" xfId="670" xr:uid="{F70C2C4B-851F-450E-B1BB-12A789E3D70E}"/>
    <cellStyle name="Millares 162 2" xfId="976" xr:uid="{088ED020-C838-4C5F-A299-3067703A0FFA}"/>
    <cellStyle name="Millares 162 2 2" xfId="3996" xr:uid="{93A1E79E-1A29-456A-9B4F-393B5DA9BB10}"/>
    <cellStyle name="Millares 162 2 2 2" xfId="11564" xr:uid="{48D4FB89-7DD8-4AB1-BA87-9D029F56EFE1}"/>
    <cellStyle name="Millares 162 2 3" xfId="8644" xr:uid="{42453BC8-DB21-4128-89FB-536CE9B93F53}"/>
    <cellStyle name="Millares 162 3" xfId="1380" xr:uid="{1B57319F-8F0F-4551-A82D-14778892BD03}"/>
    <cellStyle name="Millares 162 3 2" xfId="4340" xr:uid="{AE74EF3F-C14D-4E16-B6BE-8574E9EB4651}"/>
    <cellStyle name="Millares 162 3 2 2" xfId="11908" xr:uid="{DBFAE7F6-EF78-4E46-99EA-3F8DCA8C2847}"/>
    <cellStyle name="Millares 162 3 3" xfId="8988" xr:uid="{75371868-E9F0-4010-BABB-498A7E2F3961}"/>
    <cellStyle name="Millares 162 4" xfId="1744" xr:uid="{BB78E1AB-2038-46D5-AFF8-D742C0979AB1}"/>
    <cellStyle name="Millares 162 4 2" xfId="4704" xr:uid="{00344C9F-A0B7-4C45-83CB-76CBCC73C31A}"/>
    <cellStyle name="Millares 162 4 2 2" xfId="12272" xr:uid="{DA96AE98-F9B8-4016-BB30-A7C4104004D5}"/>
    <cellStyle name="Millares 162 4 3" xfId="9352" xr:uid="{9706B412-C65D-44DD-B41F-BA8FCE1638EE}"/>
    <cellStyle name="Millares 162 5" xfId="2123" xr:uid="{9C4E29BE-5BDC-40E3-AF2F-FFFC41F8A04E}"/>
    <cellStyle name="Millares 162 5 2" xfId="5082" xr:uid="{DE1DFE8F-1404-434E-9C5C-627371FA42B3}"/>
    <cellStyle name="Millares 162 5 2 2" xfId="12650" xr:uid="{44442BA4-BCB6-431A-8563-D8150C4AFC18}"/>
    <cellStyle name="Millares 162 5 3" xfId="9730" xr:uid="{9002BED4-1FEA-4F1C-8118-3FB87AD308E8}"/>
    <cellStyle name="Millares 162 6" xfId="3809" xr:uid="{206BF391-1033-4587-921C-F5CE4AAFDF6D}"/>
    <cellStyle name="Millares 162 6 2" xfId="11377" xr:uid="{189C8BBE-EB23-445C-8FFB-7123BFE9B581}"/>
    <cellStyle name="Millares 162 7" xfId="8457" xr:uid="{FD93DD4C-AB1E-4EE7-9F75-68F3008E85B4}"/>
    <cellStyle name="Millares 163" xfId="673" xr:uid="{A6E5FA0B-07B2-427A-A929-410592E1B8C0}"/>
    <cellStyle name="Millares 163 2" xfId="1382" xr:uid="{87B7D6BD-9C23-4A1F-B4C1-894AE35ADF67}"/>
    <cellStyle name="Millares 163 2 2" xfId="4342" xr:uid="{A7D79FE9-6FDA-46FC-AFE2-2CA007986026}"/>
    <cellStyle name="Millares 163 2 2 2" xfId="11910" xr:uid="{22132270-F73F-49D7-8B74-29A68DD61754}"/>
    <cellStyle name="Millares 163 2 3" xfId="8990" xr:uid="{CF7D1AB2-4072-44A1-80D7-F3D0987F45A3}"/>
    <cellStyle name="Millares 163 3" xfId="1746" xr:uid="{EE8A8CD6-ED27-4DEF-8F1C-FB7EE56EC868}"/>
    <cellStyle name="Millares 163 3 2" xfId="4706" xr:uid="{B7D3C412-BD11-42A7-B5D4-1B095E918058}"/>
    <cellStyle name="Millares 163 3 2 2" xfId="12274" xr:uid="{6794BB17-ABD0-4992-AE71-05283F092434}"/>
    <cellStyle name="Millares 163 3 3" xfId="9354" xr:uid="{BE15814E-C8A8-413C-8D12-DE520E921B43}"/>
    <cellStyle name="Millares 163 4" xfId="2125" xr:uid="{E3ED43F7-639A-401E-8A4F-B79AD678D16A}"/>
    <cellStyle name="Millares 163 4 2" xfId="5084" xr:uid="{384583B7-6355-452E-9419-5F53181FF741}"/>
    <cellStyle name="Millares 163 4 2 2" xfId="12652" xr:uid="{28C31127-2E59-439B-99E8-BF4195DFD1F1}"/>
    <cellStyle name="Millares 163 4 3" xfId="9732" xr:uid="{0288B6DE-5C09-4A15-90DA-DA05B201BA82}"/>
    <cellStyle name="Millares 163 5" xfId="3811" xr:uid="{72109F3D-2FCC-460E-A376-0D9025AAED36}"/>
    <cellStyle name="Millares 163 5 2" xfId="11379" xr:uid="{C1395277-243B-42AF-BEA3-0662C69F1BFB}"/>
    <cellStyle name="Millares 163 6" xfId="8459" xr:uid="{8AB9F279-D92D-40C5-B7F5-6E0C7BCB25D7}"/>
    <cellStyle name="Millares 164" xfId="676" xr:uid="{35D30082-897E-4F36-AC77-DB15D161C4EA}"/>
    <cellStyle name="Millares 164 2" xfId="1384" xr:uid="{78463CBF-0E8B-4176-9EDD-760CAF5DC338}"/>
    <cellStyle name="Millares 164 2 2" xfId="4344" xr:uid="{6E5D8677-1AF4-4269-974A-CD97242607DB}"/>
    <cellStyle name="Millares 164 2 2 2" xfId="11912" xr:uid="{F421F2AC-5924-41AA-8E66-0C5AC3F09DDF}"/>
    <cellStyle name="Millares 164 2 3" xfId="8992" xr:uid="{74C5B66A-9074-4745-ACAD-D28CBEB78790}"/>
    <cellStyle name="Millares 164 3" xfId="1748" xr:uid="{F008C89F-CF55-4D1C-A5A6-E68F35AC9CA0}"/>
    <cellStyle name="Millares 164 3 2" xfId="4708" xr:uid="{2E490003-E06C-42F2-9A52-8DD8FC7FE00A}"/>
    <cellStyle name="Millares 164 3 2 2" xfId="12276" xr:uid="{273C3A83-B735-408F-AFCF-AA8B2919D389}"/>
    <cellStyle name="Millares 164 3 3" xfId="9356" xr:uid="{266856D5-429E-454F-B8B7-1AF3BF8636E3}"/>
    <cellStyle name="Millares 164 4" xfId="2127" xr:uid="{F2C1A2CE-BA81-4F2C-ABA9-13FBDB14E939}"/>
    <cellStyle name="Millares 164 4 2" xfId="5086" xr:uid="{9F9CBB6B-8F48-4AD4-A48A-DFDC0415CBF7}"/>
    <cellStyle name="Millares 164 4 2 2" xfId="12654" xr:uid="{396EB45A-82B7-471D-B106-085A3A255930}"/>
    <cellStyle name="Millares 164 4 3" xfId="9734" xr:uid="{0F20C4B2-9C88-4FB1-B13C-407876D27766}"/>
    <cellStyle name="Millares 164 5" xfId="3813" xr:uid="{0953CF98-5F63-4404-AA53-926256EDACE4}"/>
    <cellStyle name="Millares 164 5 2" xfId="11381" xr:uid="{F3825BF6-712C-494B-8DCC-7623F9C4C0DC}"/>
    <cellStyle name="Millares 164 6" xfId="8461" xr:uid="{AB82CA77-EF95-4D81-BE68-71E5E0DDB14D}"/>
    <cellStyle name="Millares 165" xfId="679" xr:uid="{4632A5E5-FBEE-4AFC-B6D2-E787E516237F}"/>
    <cellStyle name="Millares 165 2" xfId="1386" xr:uid="{55EAA51E-A680-4448-B0DF-3F8673AE0DCC}"/>
    <cellStyle name="Millares 165 2 2" xfId="4346" xr:uid="{2EF004EE-D430-4B75-BF75-636A2B45E04A}"/>
    <cellStyle name="Millares 165 2 2 2" xfId="11914" xr:uid="{4BA9F2DE-0CB2-4A5A-AC64-1A877FF7405F}"/>
    <cellStyle name="Millares 165 2 3" xfId="8994" xr:uid="{90715F18-560A-456D-8705-10C0D3DE4AED}"/>
    <cellStyle name="Millares 165 3" xfId="1750" xr:uid="{F23527A1-13DF-48E1-B762-1B8795FDF8FC}"/>
    <cellStyle name="Millares 165 3 2" xfId="4710" xr:uid="{4B9E5F3E-EAC5-4B9B-9714-E831F968A55B}"/>
    <cellStyle name="Millares 165 3 2 2" xfId="12278" xr:uid="{2DFD02FD-5BDF-410A-A715-0556E892B93F}"/>
    <cellStyle name="Millares 165 3 3" xfId="9358" xr:uid="{A14D76C1-4F45-4AA2-B754-3F3ECFA94561}"/>
    <cellStyle name="Millares 165 4" xfId="2129" xr:uid="{313BBF4C-9F35-446E-B573-7069F8935030}"/>
    <cellStyle name="Millares 165 4 2" xfId="5088" xr:uid="{6EAB4BFF-F837-45A8-875A-8814E4A2E5E2}"/>
    <cellStyle name="Millares 165 4 2 2" xfId="12656" xr:uid="{2CCBEB0A-B2BA-457A-8D9E-F211929D6F75}"/>
    <cellStyle name="Millares 165 4 3" xfId="9736" xr:uid="{FAA21680-9071-4ED2-9532-270F0D8F79AA}"/>
    <cellStyle name="Millares 165 5" xfId="3815" xr:uid="{FFD41FDC-A926-4E88-BC5F-B942C7B76320}"/>
    <cellStyle name="Millares 165 5 2" xfId="11383" xr:uid="{36E23B30-9CA3-4678-BE08-5F0919080269}"/>
    <cellStyle name="Millares 165 6" xfId="8463" xr:uid="{16CA9F0E-ECD5-4D08-B575-F415D7923F94}"/>
    <cellStyle name="Millares 166" xfId="682" xr:uid="{088BF1CC-ADAE-45B0-A111-D580B8545346}"/>
    <cellStyle name="Millares 166 2" xfId="1388" xr:uid="{FCC0A8B8-6959-495F-9483-16AE77614E37}"/>
    <cellStyle name="Millares 166 2 2" xfId="4348" xr:uid="{373A76AD-2BDC-4788-A6F2-1AF229FF4D48}"/>
    <cellStyle name="Millares 166 2 2 2" xfId="11916" xr:uid="{79E1172A-325F-4C86-B5E2-68262EF81D0E}"/>
    <cellStyle name="Millares 166 2 3" xfId="8996" xr:uid="{52AA94A6-94BC-4E99-A65E-562B43465A88}"/>
    <cellStyle name="Millares 166 3" xfId="1752" xr:uid="{927B7E23-DC0F-41BD-99EB-FF19215D19FA}"/>
    <cellStyle name="Millares 166 3 2" xfId="4712" xr:uid="{5FBB04D7-185C-446E-90BE-E34BEFDB2341}"/>
    <cellStyle name="Millares 166 3 2 2" xfId="12280" xr:uid="{B192718C-9F35-419D-AC1B-C25F56F53AD2}"/>
    <cellStyle name="Millares 166 3 3" xfId="9360" xr:uid="{9D35B203-D586-4B2E-8B0B-8A90FA9F6466}"/>
    <cellStyle name="Millares 166 4" xfId="2131" xr:uid="{3367D3FE-4CF0-4B4D-A838-4D561D4ED2C0}"/>
    <cellStyle name="Millares 166 4 2" xfId="5090" xr:uid="{6B3C91BF-2AA4-4F46-AF8A-DBBB4AEA2606}"/>
    <cellStyle name="Millares 166 4 2 2" xfId="12658" xr:uid="{6AA67597-FAFC-4388-AC33-E6560DEA0DD8}"/>
    <cellStyle name="Millares 166 4 3" xfId="9738" xr:uid="{E0795DDB-533C-446E-8E80-761E7C87A87A}"/>
    <cellStyle name="Millares 166 5" xfId="3817" xr:uid="{EE8E0A99-F203-446C-AE91-3172A7C3B5E3}"/>
    <cellStyle name="Millares 166 5 2" xfId="11385" xr:uid="{2172BD60-AC4F-4B68-B677-83156D0FD2C0}"/>
    <cellStyle name="Millares 166 6" xfId="8465" xr:uid="{14FDFD53-6E9F-4B0D-AB22-19B31456108B}"/>
    <cellStyle name="Millares 167" xfId="685" xr:uid="{5A1D8EB4-78AD-4F7E-A5E7-EA7CDFFF3FF7}"/>
    <cellStyle name="Millares 167 2" xfId="1390" xr:uid="{320EC029-20E6-4CB1-BFCF-F2B5982D0CA4}"/>
    <cellStyle name="Millares 167 2 2" xfId="4350" xr:uid="{6D294A90-80D8-47B2-A2B4-30226921DBF6}"/>
    <cellStyle name="Millares 167 2 2 2" xfId="11918" xr:uid="{45C8B5B5-8B1D-48FA-AB89-B4FB1F5A0E9F}"/>
    <cellStyle name="Millares 167 2 3" xfId="8998" xr:uid="{4EA7A369-8246-415C-91DE-BFA506B6DA1D}"/>
    <cellStyle name="Millares 167 3" xfId="1754" xr:uid="{71242463-CA34-453F-AE79-1C5A77FE33BF}"/>
    <cellStyle name="Millares 167 3 2" xfId="4714" xr:uid="{29998649-E99B-4C75-BA42-BAD4F8FD03D0}"/>
    <cellStyle name="Millares 167 3 2 2" xfId="12282" xr:uid="{B9087642-8E92-4421-9AD9-7FE02DB7F455}"/>
    <cellStyle name="Millares 167 3 3" xfId="9362" xr:uid="{7F9C3B59-0C58-4B96-A93A-0B2FF5CE0A8D}"/>
    <cellStyle name="Millares 167 4" xfId="2133" xr:uid="{F208D19D-B6DA-4B27-93CE-C7298C089190}"/>
    <cellStyle name="Millares 167 4 2" xfId="5092" xr:uid="{B64F9C31-78B1-4E1F-B153-B2A5EDE50A4D}"/>
    <cellStyle name="Millares 167 4 2 2" xfId="12660" xr:uid="{BD5A71D7-C044-4DF4-939B-C890751B8C29}"/>
    <cellStyle name="Millares 167 4 3" xfId="9740" xr:uid="{A18C8723-86FE-4E33-BC89-26DB3E6A59B0}"/>
    <cellStyle name="Millares 167 5" xfId="3819" xr:uid="{32E1F254-5338-491A-86A2-DD6910813619}"/>
    <cellStyle name="Millares 167 5 2" xfId="11387" xr:uid="{083029E2-66A6-4DD3-9491-CB38F09C591F}"/>
    <cellStyle name="Millares 167 6" xfId="8467" xr:uid="{38EDC8CB-27AE-494E-886A-CA615BD1414A}"/>
    <cellStyle name="Millares 168" xfId="688" xr:uid="{33FFF543-1EB8-4720-AFC5-47F52A9184D6}"/>
    <cellStyle name="Millares 168 2" xfId="1392" xr:uid="{8D5C9209-6BF8-4119-8B9A-32593F8535CA}"/>
    <cellStyle name="Millares 168 2 2" xfId="4352" xr:uid="{8E5AC318-6246-4EA0-A468-F0F6884E3B93}"/>
    <cellStyle name="Millares 168 2 2 2" xfId="11920" xr:uid="{26512FE6-5651-4E0E-902D-B4E6045F47FB}"/>
    <cellStyle name="Millares 168 2 3" xfId="9000" xr:uid="{ECA31348-0F5E-44DC-B01A-FD80BA6C210B}"/>
    <cellStyle name="Millares 168 3" xfId="1756" xr:uid="{210E38EB-BF1B-45DC-8FC0-ABE19AB3A1FF}"/>
    <cellStyle name="Millares 168 3 2" xfId="4716" xr:uid="{E789534D-F513-4ACE-B36A-990888C0B697}"/>
    <cellStyle name="Millares 168 3 2 2" xfId="12284" xr:uid="{76A42F8D-5D6D-46AB-9E1E-EB0B7033303E}"/>
    <cellStyle name="Millares 168 3 3" xfId="9364" xr:uid="{8C1823C8-6F66-4FBE-A426-228D4FB829A1}"/>
    <cellStyle name="Millares 168 4" xfId="2135" xr:uid="{185F58D4-9505-41BA-A9E1-36AF376A5850}"/>
    <cellStyle name="Millares 168 4 2" xfId="5094" xr:uid="{3B3989FA-3849-4A97-B6DD-9212C5F66C0C}"/>
    <cellStyle name="Millares 168 4 2 2" xfId="12662" xr:uid="{3E8D8EA5-4499-4CC8-ACDF-9A0DC95524A1}"/>
    <cellStyle name="Millares 168 4 3" xfId="9742" xr:uid="{335D03E1-889E-4FEE-B4DD-0BA7ECF77567}"/>
    <cellStyle name="Millares 168 5" xfId="3821" xr:uid="{794A2F55-0880-4871-8624-11920560EB71}"/>
    <cellStyle name="Millares 168 5 2" xfId="11389" xr:uid="{ED14DE38-6B1B-4F24-AAC9-8FD0085E76B2}"/>
    <cellStyle name="Millares 168 6" xfId="8469" xr:uid="{FB33E0E1-D384-41FD-8869-AD767429FB03}"/>
    <cellStyle name="Millares 169" xfId="691" xr:uid="{C0243A13-DEE1-48D1-BFA3-7809A3098E5F}"/>
    <cellStyle name="Millares 169 2" xfId="1394" xr:uid="{1736E895-882E-4BB2-B3E6-AF78DAEA161D}"/>
    <cellStyle name="Millares 169 2 2" xfId="4354" xr:uid="{7C8EE60D-0A83-4943-A8E4-72DE9A0DA9AA}"/>
    <cellStyle name="Millares 169 2 2 2" xfId="11922" xr:uid="{01CAA444-D89C-4804-89A0-A54AF92DBD5D}"/>
    <cellStyle name="Millares 169 2 3" xfId="9002" xr:uid="{2CF02FF8-1D22-4A19-A3B9-308C91AD79B5}"/>
    <cellStyle name="Millares 169 3" xfId="1758" xr:uid="{92D9E2A8-6AD1-4D72-9AAD-379080BC0231}"/>
    <cellStyle name="Millares 169 3 2" xfId="4718" xr:uid="{3189BB55-ED65-430C-A356-74EC1F44BD5C}"/>
    <cellStyle name="Millares 169 3 2 2" xfId="12286" xr:uid="{7F6E079C-EE1A-4AEA-8629-0A56DA97274B}"/>
    <cellStyle name="Millares 169 3 3" xfId="9366" xr:uid="{242DF3F2-AA46-4321-A08E-9B8E186211FD}"/>
    <cellStyle name="Millares 169 4" xfId="2137" xr:uid="{5CB84CEA-656E-4021-9CD6-690960E43171}"/>
    <cellStyle name="Millares 169 4 2" xfId="5096" xr:uid="{4F444B6F-EA20-455C-98DB-41BC077177FD}"/>
    <cellStyle name="Millares 169 4 2 2" xfId="12664" xr:uid="{ACD6C29E-CDE7-40B7-B778-2BCCE35FDB9F}"/>
    <cellStyle name="Millares 169 4 3" xfId="9744" xr:uid="{B1A33D9C-BBD4-4387-80C1-2EA4B9468A50}"/>
    <cellStyle name="Millares 169 5" xfId="3823" xr:uid="{238E90E7-6E77-4E81-8363-AA0E55DAAED2}"/>
    <cellStyle name="Millares 169 5 2" xfId="11391" xr:uid="{59566C31-22A0-4C52-AC58-3F681F2312E4}"/>
    <cellStyle name="Millares 169 6" xfId="8471" xr:uid="{56916E11-B8F9-4169-BE97-5746AFC9AE3B}"/>
    <cellStyle name="Millares 17" xfId="234" xr:uid="{E53FC5A1-DC7B-4DAC-9913-84DE68436ECE}"/>
    <cellStyle name="Millares 17 2" xfId="1090" xr:uid="{D03EBA87-EC81-4FE0-97EC-E6F7B0FFE5E8}"/>
    <cellStyle name="Millares 17 2 2" xfId="4050" xr:uid="{93B8B7DA-1C2A-4961-90A6-3E889795183B}"/>
    <cellStyle name="Millares 17 2 2 2" xfId="11618" xr:uid="{2D8886D8-D787-440F-ABAC-28DB40F3E083}"/>
    <cellStyle name="Millares 17 2 3" xfId="8698" xr:uid="{D38BA45E-C526-4D72-A073-47579D345DF9}"/>
    <cellStyle name="Millares 17 3" xfId="1454" xr:uid="{7652E2B0-EA98-407C-8AA8-ABE87403A8D4}"/>
    <cellStyle name="Millares 17 3 2" xfId="4414" xr:uid="{3FDEDC7D-8858-47FF-8A34-28FA63A6A42B}"/>
    <cellStyle name="Millares 17 3 2 2" xfId="11982" xr:uid="{B4952354-E582-46C6-9A92-C82080AF8EF6}"/>
    <cellStyle name="Millares 17 3 3" xfId="9062" xr:uid="{D16BB594-A85A-4511-9242-CED0178F0C0B}"/>
    <cellStyle name="Millares 17 4" xfId="1833" xr:uid="{E145507B-71C5-4EC4-A3EE-B07CCEE3DA55}"/>
    <cellStyle name="Millares 17 4 2" xfId="4792" xr:uid="{C6D20729-6F64-4383-BE75-D5328A7C3444}"/>
    <cellStyle name="Millares 17 4 2 2" xfId="12360" xr:uid="{8F96CA68-5CCE-40F4-B47F-3B196F7ABE54}"/>
    <cellStyle name="Millares 17 4 3" xfId="9440" xr:uid="{B96C52E8-888A-4C82-8334-D267199B21C4}"/>
    <cellStyle name="Millares 17 5" xfId="3519" xr:uid="{C6D2A806-8B31-4B46-831F-5C821DD24414}"/>
    <cellStyle name="Millares 17 5 2" xfId="11087" xr:uid="{4018C7B1-A270-4E84-8282-CF6945BC7C66}"/>
    <cellStyle name="Millares 17 6" xfId="8167" xr:uid="{8F62327F-CA54-47CA-84F7-21794A650E44}"/>
    <cellStyle name="Millares 170" xfId="694" xr:uid="{DDE76330-E9A1-45D7-A767-C399E9F53769}"/>
    <cellStyle name="Millares 170 2" xfId="1396" xr:uid="{3F74A4E4-25A9-445C-A50E-D694EB09F60D}"/>
    <cellStyle name="Millares 170 2 2" xfId="4356" xr:uid="{9EF1ADED-39B8-4761-AE1D-B3F8A8E9DE71}"/>
    <cellStyle name="Millares 170 2 2 2" xfId="11924" xr:uid="{64D73960-DC7F-4A36-98D1-DC31A8B239A1}"/>
    <cellStyle name="Millares 170 2 3" xfId="9004" xr:uid="{DD191D1E-25D9-45C7-9035-4CA1EE3AEAD2}"/>
    <cellStyle name="Millares 170 3" xfId="1760" xr:uid="{35CFAC1B-2DC3-4509-835D-BD6A2982B624}"/>
    <cellStyle name="Millares 170 3 2" xfId="4720" xr:uid="{CC40819D-507D-4EF7-A9CC-127EC689A5F6}"/>
    <cellStyle name="Millares 170 3 2 2" xfId="12288" xr:uid="{B275D745-4929-4847-81C5-AA0D1D1CE671}"/>
    <cellStyle name="Millares 170 3 3" xfId="9368" xr:uid="{D9F46E8D-9A88-4F41-9B0C-846A0B454CEA}"/>
    <cellStyle name="Millares 170 4" xfId="2139" xr:uid="{1BF2CE32-18FD-4055-9800-55CEF7830A4A}"/>
    <cellStyle name="Millares 170 4 2" xfId="5098" xr:uid="{A8971C53-BF3A-450C-9880-20AB72BCD694}"/>
    <cellStyle name="Millares 170 4 2 2" xfId="12666" xr:uid="{AA41ED18-8FDE-458D-9F95-715E3487EA3B}"/>
    <cellStyle name="Millares 170 4 3" xfId="9746" xr:uid="{9642B338-46FF-457C-B115-D8E2CFBFCA5A}"/>
    <cellStyle name="Millares 170 5" xfId="3825" xr:uid="{73A50555-1B4D-4322-909E-2E4BA0338293}"/>
    <cellStyle name="Millares 170 5 2" xfId="11393" xr:uid="{8AE51FCE-15A4-4C8B-8327-EBB837D53521}"/>
    <cellStyle name="Millares 170 6" xfId="8473" xr:uid="{292D97B0-5BEF-47DE-8DD9-83F7D3739B2D}"/>
    <cellStyle name="Millares 171" xfId="697" xr:uid="{A41DD7F0-D107-46C6-9D86-8D204907C6A2}"/>
    <cellStyle name="Millares 171 2" xfId="1398" xr:uid="{EE83CC93-FAD3-429A-AEF1-2C81564E6F29}"/>
    <cellStyle name="Millares 171 2 2" xfId="4358" xr:uid="{FAB61AC5-BC06-446B-9A78-E57EEC1B8DDA}"/>
    <cellStyle name="Millares 171 2 2 2" xfId="11926" xr:uid="{9E958B53-49D0-4E68-95AC-0C3E484E4C31}"/>
    <cellStyle name="Millares 171 2 3" xfId="9006" xr:uid="{5D7BD6A7-46CC-4D5B-A6FB-122B1F3B173B}"/>
    <cellStyle name="Millares 171 3" xfId="1762" xr:uid="{522EBA31-1F79-4A85-BD26-AEB5A8782F25}"/>
    <cellStyle name="Millares 171 3 2" xfId="4722" xr:uid="{1AB07D3E-7A53-490E-BA73-470DAB9630B6}"/>
    <cellStyle name="Millares 171 3 2 2" xfId="12290" xr:uid="{75D750F2-6B51-47CF-BFAC-BA17DCEF0AB7}"/>
    <cellStyle name="Millares 171 3 3" xfId="9370" xr:uid="{7F87B384-9B75-4E3E-83BB-ED6849368B12}"/>
    <cellStyle name="Millares 171 4" xfId="2141" xr:uid="{D76AEC41-93F1-4231-A2B1-0F3E6A64B6D1}"/>
    <cellStyle name="Millares 171 4 2" xfId="5100" xr:uid="{291832D4-427B-4E20-88D4-FE91907E192B}"/>
    <cellStyle name="Millares 171 4 2 2" xfId="12668" xr:uid="{7082490D-E969-44AC-987B-EEC84276B2A3}"/>
    <cellStyle name="Millares 171 4 3" xfId="9748" xr:uid="{09DBEDBA-C503-4976-AB10-885DE5CE45E8}"/>
    <cellStyle name="Millares 171 5" xfId="3827" xr:uid="{3B17FAA6-6E11-435F-B7C4-BFDCB4809E43}"/>
    <cellStyle name="Millares 171 5 2" xfId="11395" xr:uid="{FD35D8E1-BF54-484D-B1BC-1FF695E8C459}"/>
    <cellStyle name="Millares 171 6" xfId="8475" xr:uid="{7B13FA9F-50D9-49EA-B003-6083BC97A579}"/>
    <cellStyle name="Millares 172" xfId="700" xr:uid="{DE38E346-2CFB-4C2C-81E9-4C570A99E9DE}"/>
    <cellStyle name="Millares 172 2" xfId="1400" xr:uid="{36C0E629-A46D-4A86-AF51-2611B57BD7BB}"/>
    <cellStyle name="Millares 172 2 2" xfId="4360" xr:uid="{FA1D9171-3921-4248-A900-2DF9F545C256}"/>
    <cellStyle name="Millares 172 2 2 2" xfId="11928" xr:uid="{A152C82B-7041-4E08-88A2-2091C7FFB2BD}"/>
    <cellStyle name="Millares 172 2 3" xfId="9008" xr:uid="{106275C6-3E89-4A14-8F1F-6712E6ABEA51}"/>
    <cellStyle name="Millares 172 3" xfId="1764" xr:uid="{924CE0A5-8E3C-482D-84F4-CB6BFEF809BC}"/>
    <cellStyle name="Millares 172 3 2" xfId="4724" xr:uid="{3FF35388-0985-49F6-A45E-C5B144B34731}"/>
    <cellStyle name="Millares 172 3 2 2" xfId="12292" xr:uid="{2C79057A-AB73-4922-98C8-C7EE08EA941D}"/>
    <cellStyle name="Millares 172 3 3" xfId="9372" xr:uid="{56486780-5393-465E-A4F1-EEFE9A48CF49}"/>
    <cellStyle name="Millares 172 4" xfId="2143" xr:uid="{2DDCCB96-26FE-487C-BDCB-F9F4C293D406}"/>
    <cellStyle name="Millares 172 4 2" xfId="5102" xr:uid="{DF452C34-BFA2-4F7A-AB23-A27E7ACEBC86}"/>
    <cellStyle name="Millares 172 4 2 2" xfId="12670" xr:uid="{B8DB8ED4-9EE2-403F-96CE-CD1A243894D7}"/>
    <cellStyle name="Millares 172 4 3" xfId="9750" xr:uid="{420C90DB-6C27-4CE3-B3FB-8E8D75B2A366}"/>
    <cellStyle name="Millares 172 5" xfId="3829" xr:uid="{A2C2CF23-DD41-49C9-81D2-ED231B5CC27F}"/>
    <cellStyle name="Millares 172 5 2" xfId="11397" xr:uid="{103B88BB-08EC-4DEC-B91D-39179E5E8C88}"/>
    <cellStyle name="Millares 172 6" xfId="8477" xr:uid="{FD9663F8-DB67-4A2E-8793-76388AB5D934}"/>
    <cellStyle name="Millares 173" xfId="703" xr:uid="{D06DDD80-6E22-4822-9123-A809ECAA05EC}"/>
    <cellStyle name="Millares 173 2" xfId="1402" xr:uid="{4CDC00C7-09BD-4986-95AC-82CD31EA9EAF}"/>
    <cellStyle name="Millares 173 2 2" xfId="4362" xr:uid="{8E627AEC-CFC0-487B-BB98-D5C323813C9A}"/>
    <cellStyle name="Millares 173 2 2 2" xfId="11930" xr:uid="{EB086A85-898C-498D-811B-9A4CE850B280}"/>
    <cellStyle name="Millares 173 2 3" xfId="9010" xr:uid="{F110FA37-CAF3-45CC-A43A-FD25090D1CCE}"/>
    <cellStyle name="Millares 173 3" xfId="1766" xr:uid="{B30E6C15-B7E7-4EC5-86A0-EF40E92DF921}"/>
    <cellStyle name="Millares 173 3 2" xfId="4726" xr:uid="{F7BAC088-8C7A-4673-83FE-9135CCF6FBCF}"/>
    <cellStyle name="Millares 173 3 2 2" xfId="12294" xr:uid="{C24F37E0-13E7-402C-8BD6-0022C168FBC7}"/>
    <cellStyle name="Millares 173 3 3" xfId="9374" xr:uid="{880A8B77-E28F-4864-B880-CFD585B9ABB8}"/>
    <cellStyle name="Millares 173 4" xfId="2145" xr:uid="{BC7D0E8F-F6CD-4572-A377-4FB2A957D956}"/>
    <cellStyle name="Millares 173 4 2" xfId="5104" xr:uid="{60735788-82AD-4648-A796-32357F02C4AC}"/>
    <cellStyle name="Millares 173 4 2 2" xfId="12672" xr:uid="{D6BDA9CC-96D4-497B-BC81-2F8B2114DD25}"/>
    <cellStyle name="Millares 173 4 3" xfId="9752" xr:uid="{7D244A30-AABD-425B-9D71-27E2D7A2B97B}"/>
    <cellStyle name="Millares 173 5" xfId="3831" xr:uid="{774A9BFD-30CC-4E40-BE9A-575FFB0CAA90}"/>
    <cellStyle name="Millares 173 5 2" xfId="11399" xr:uid="{45300BEB-7C8D-4E7E-A721-4D4F36802A86}"/>
    <cellStyle name="Millares 173 6" xfId="8479" xr:uid="{95DB8477-D96D-4229-B048-439261EE2998}"/>
    <cellStyle name="Millares 174" xfId="706" xr:uid="{8076E05C-9EDB-480C-8789-2B8BFBA14208}"/>
    <cellStyle name="Millares 174 2" xfId="1404" xr:uid="{629027D5-9F63-40A6-B941-F5AE552A736A}"/>
    <cellStyle name="Millares 174 2 2" xfId="4364" xr:uid="{87046BAA-0898-4266-BA4E-C8205C9AEA5F}"/>
    <cellStyle name="Millares 174 2 2 2" xfId="11932" xr:uid="{B632A7CC-B361-4A06-BAC4-FCD5DE1145AA}"/>
    <cellStyle name="Millares 174 2 3" xfId="9012" xr:uid="{F98F9C15-C919-4D45-A59B-84D7F89BC23C}"/>
    <cellStyle name="Millares 174 3" xfId="1768" xr:uid="{E8672437-CB56-4184-A962-F98993EB26C3}"/>
    <cellStyle name="Millares 174 3 2" xfId="4728" xr:uid="{AE6FA896-3ACE-48BC-A4A2-0E9A8DC95CC5}"/>
    <cellStyle name="Millares 174 3 2 2" xfId="12296" xr:uid="{AC6039DF-53A5-4054-A6AF-01FE95053513}"/>
    <cellStyle name="Millares 174 3 3" xfId="9376" xr:uid="{1C227B19-2FE2-4803-BC10-7BCD726B4575}"/>
    <cellStyle name="Millares 174 4" xfId="2147" xr:uid="{21DC536B-5F5C-4EC3-87C1-E5B85E5EFBDF}"/>
    <cellStyle name="Millares 174 4 2" xfId="5106" xr:uid="{34655031-A543-442D-8624-DB2D08519A87}"/>
    <cellStyle name="Millares 174 4 2 2" xfId="12674" xr:uid="{99B7D1AB-AFD5-4C78-99DD-74238CB46043}"/>
    <cellStyle name="Millares 174 4 3" xfId="9754" xr:uid="{A6431422-8188-4EB8-8137-040B11712BFD}"/>
    <cellStyle name="Millares 174 5" xfId="3833" xr:uid="{398ECD1F-340A-4A6C-ABB4-7D9D5D431778}"/>
    <cellStyle name="Millares 174 5 2" xfId="11401" xr:uid="{13A9BF33-BD31-4B64-992F-E2B7DE081E6F}"/>
    <cellStyle name="Millares 174 6" xfId="8481" xr:uid="{42385271-73D2-48D3-8440-4947BD768CBA}"/>
    <cellStyle name="Millares 175" xfId="709" xr:uid="{6F7F57DA-4B33-4B9D-BCEE-105DD23AAC8B}"/>
    <cellStyle name="Millares 175 2" xfId="1406" xr:uid="{91F08370-3DB6-4DF6-A907-46FBB2F3F33B}"/>
    <cellStyle name="Millares 175 2 2" xfId="4366" xr:uid="{254CD68E-3BD1-4B4F-ADB5-641FED9513FA}"/>
    <cellStyle name="Millares 175 2 2 2" xfId="11934" xr:uid="{C1E2BE83-8DA1-479D-BE10-92FE288EFE82}"/>
    <cellStyle name="Millares 175 2 3" xfId="9014" xr:uid="{B2159A2B-5878-4B65-A469-C8F23D422154}"/>
    <cellStyle name="Millares 175 3" xfId="1770" xr:uid="{961A6EBC-0E38-4B8C-8C25-2F662F6C7752}"/>
    <cellStyle name="Millares 175 3 2" xfId="4730" xr:uid="{0911AD47-73AC-4518-83FA-FB4FDB6831C5}"/>
    <cellStyle name="Millares 175 3 2 2" xfId="12298" xr:uid="{E9393A76-F786-4BD6-853B-6F22E4300DCE}"/>
    <cellStyle name="Millares 175 3 3" xfId="9378" xr:uid="{475C203F-9C75-4771-B831-7D7FE90EC497}"/>
    <cellStyle name="Millares 175 4" xfId="2149" xr:uid="{ECCBADF4-B7B3-4F25-8254-9F5BEF8FC064}"/>
    <cellStyle name="Millares 175 4 2" xfId="5108" xr:uid="{D211A966-9BD1-4B2A-9B70-F6E575943A32}"/>
    <cellStyle name="Millares 175 4 2 2" xfId="12676" xr:uid="{674F03A6-2A59-4D3C-B424-A50D9A348EDF}"/>
    <cellStyle name="Millares 175 4 3" xfId="9756" xr:uid="{8F52673D-367C-4834-A7D3-BA130E26C380}"/>
    <cellStyle name="Millares 175 5" xfId="3835" xr:uid="{BC25F0BA-3BA2-4062-8CC5-0EC394746333}"/>
    <cellStyle name="Millares 175 5 2" xfId="11403" xr:uid="{5601FE4C-8012-4258-BF77-50603C325267}"/>
    <cellStyle name="Millares 175 6" xfId="8483" xr:uid="{52A89831-DD22-4EA6-9753-65F89AAAAABD}"/>
    <cellStyle name="Millares 176" xfId="712" xr:uid="{E9870853-1645-4A51-B4D4-1ACC1AE400F6}"/>
    <cellStyle name="Millares 176 2" xfId="1408" xr:uid="{7F9D4107-93F1-4B9B-934D-4E5D3D95E61E}"/>
    <cellStyle name="Millares 176 2 2" xfId="4368" xr:uid="{31B4F9AB-0C80-418A-826F-E1B124419DCD}"/>
    <cellStyle name="Millares 176 2 2 2" xfId="11936" xr:uid="{75A6E25A-F8CF-46A3-AA9A-F303702C267B}"/>
    <cellStyle name="Millares 176 2 3" xfId="9016" xr:uid="{B631F7F9-93AC-4268-9F76-A6A72C365743}"/>
    <cellStyle name="Millares 176 3" xfId="1772" xr:uid="{41E45349-B861-4354-AF09-D66FDC2EE95D}"/>
    <cellStyle name="Millares 176 3 2" xfId="4732" xr:uid="{7F2C8A7F-DF35-4ADE-9C20-F0D1EBCE084A}"/>
    <cellStyle name="Millares 176 3 2 2" xfId="12300" xr:uid="{62A850D8-077F-4301-B106-6B9E91D15076}"/>
    <cellStyle name="Millares 176 3 3" xfId="9380" xr:uid="{B9A5F887-20A4-4A0E-A9B5-843D14C57D8E}"/>
    <cellStyle name="Millares 176 4" xfId="2151" xr:uid="{434478F7-B4C0-4E5D-B491-8428AC46804F}"/>
    <cellStyle name="Millares 176 4 2" xfId="5110" xr:uid="{E14B2F5E-C8FD-42BB-8273-67E6738DFAB6}"/>
    <cellStyle name="Millares 176 4 2 2" xfId="12678" xr:uid="{8ACCFB9C-B2AF-4EF2-A5D6-1A7E3F53779B}"/>
    <cellStyle name="Millares 176 4 3" xfId="9758" xr:uid="{A3598813-D00F-49DE-A897-3F49889A6CDC}"/>
    <cellStyle name="Millares 176 5" xfId="3837" xr:uid="{986C5E3D-9C24-4D8B-AC40-E4886E8C1ECA}"/>
    <cellStyle name="Millares 176 5 2" xfId="11405" xr:uid="{F2502A0B-6581-4312-A96C-42110601D69B}"/>
    <cellStyle name="Millares 176 6" xfId="8485" xr:uid="{8991746D-ADC9-4EEF-9C99-E7EBD81BEB92}"/>
    <cellStyle name="Millares 177" xfId="715" xr:uid="{9D604499-EF84-4D1A-9F2A-CF2C06A08CEB}"/>
    <cellStyle name="Millares 177 2" xfId="1410" xr:uid="{A6E42E7B-5061-4E9D-BCA1-89F300F80C42}"/>
    <cellStyle name="Millares 177 2 2" xfId="4370" xr:uid="{BF71E68E-862D-4D12-907A-F7BCCDF2BC4C}"/>
    <cellStyle name="Millares 177 2 2 2" xfId="11938" xr:uid="{59B7F592-0049-432E-ABD6-E1226B196067}"/>
    <cellStyle name="Millares 177 2 3" xfId="9018" xr:uid="{DCA02D44-545B-47E8-9A5E-53D5D94B31BA}"/>
    <cellStyle name="Millares 177 3" xfId="1774" xr:uid="{AE60BEC0-2E1E-4885-957B-206504BB5957}"/>
    <cellStyle name="Millares 177 3 2" xfId="4734" xr:uid="{80EA9E37-C78D-4E67-ABBD-4BF9BCB42648}"/>
    <cellStyle name="Millares 177 3 2 2" xfId="12302" xr:uid="{7440A08F-B99E-4395-B134-4DD8AB291B25}"/>
    <cellStyle name="Millares 177 3 3" xfId="9382" xr:uid="{F5E7E573-FB08-48F2-9513-23A57BE9BDBE}"/>
    <cellStyle name="Millares 177 4" xfId="2153" xr:uid="{522CB8E9-7605-436B-BC53-F5FC0A9EFDDC}"/>
    <cellStyle name="Millares 177 4 2" xfId="5112" xr:uid="{0A641946-C0BD-4B63-BCC7-9C8C2ADFD254}"/>
    <cellStyle name="Millares 177 4 2 2" xfId="12680" xr:uid="{A2783F3F-42D6-4578-97D4-61B467E47BBF}"/>
    <cellStyle name="Millares 177 4 3" xfId="9760" xr:uid="{D71F393E-781F-4907-846B-FCEF6519FD6A}"/>
    <cellStyle name="Millares 177 5" xfId="3839" xr:uid="{B46BC5F0-3E90-4E3C-BA3C-825093CFDFFF}"/>
    <cellStyle name="Millares 177 5 2" xfId="11407" xr:uid="{F8E558E7-CB95-481B-B6B3-F4DC3528FEA7}"/>
    <cellStyle name="Millares 177 6" xfId="8487" xr:uid="{0ECB8C80-48D7-423F-9617-E0E9D382058E}"/>
    <cellStyle name="Millares 178" xfId="718" xr:uid="{10790960-974A-43A3-87E3-ADDFA6112BBB}"/>
    <cellStyle name="Millares 178 2" xfId="1412" xr:uid="{A47F2FD5-9C1A-4107-B9FE-82C0D2FFBE1F}"/>
    <cellStyle name="Millares 178 2 2" xfId="4372" xr:uid="{EBABF75A-8791-453B-B510-79C9C1DB3C6D}"/>
    <cellStyle name="Millares 178 2 2 2" xfId="11940" xr:uid="{DFC9C677-4DFD-41B7-B156-1B3376DBAF39}"/>
    <cellStyle name="Millares 178 2 3" xfId="9020" xr:uid="{D26F1AC3-0DCE-4386-A757-2612EA1F2E0D}"/>
    <cellStyle name="Millares 178 3" xfId="1776" xr:uid="{AED83ADB-6E27-4F2D-8C21-0317C6219A7E}"/>
    <cellStyle name="Millares 178 3 2" xfId="4736" xr:uid="{623A2D1A-229A-4006-BA14-BE414833D923}"/>
    <cellStyle name="Millares 178 3 2 2" xfId="12304" xr:uid="{73E72BE0-E9AF-4B6A-A036-DC7BE45CBE16}"/>
    <cellStyle name="Millares 178 3 3" xfId="9384" xr:uid="{1096BC23-3004-4E1D-B4F6-2642477737B1}"/>
    <cellStyle name="Millares 178 4" xfId="2155" xr:uid="{EF83FEF1-F11A-490A-91CA-3EED814F4C4A}"/>
    <cellStyle name="Millares 178 4 2" xfId="5114" xr:uid="{B01625BC-5553-4D15-BB28-D18A6FA1837A}"/>
    <cellStyle name="Millares 178 4 2 2" xfId="12682" xr:uid="{8DC2C637-2305-463F-A85B-3B29ABE15493}"/>
    <cellStyle name="Millares 178 4 3" xfId="9762" xr:uid="{449EB539-16DE-44DA-9313-414DEAA20E40}"/>
    <cellStyle name="Millares 178 5" xfId="3841" xr:uid="{B2AF5F84-FB25-4ADA-8B69-50FFD83B6F92}"/>
    <cellStyle name="Millares 178 5 2" xfId="11409" xr:uid="{C3B38B26-E107-4194-8670-E00F4E4989E8}"/>
    <cellStyle name="Millares 178 6" xfId="8489" xr:uid="{6783E2DC-C9FA-4DF6-B19A-D49C195D70A2}"/>
    <cellStyle name="Millares 179" xfId="721" xr:uid="{C23ADCE1-2E66-456A-A135-A38D4A80C5F5}"/>
    <cellStyle name="Millares 179 2" xfId="1778" xr:uid="{424367C0-0706-42D1-8C11-33607E51A8F3}"/>
    <cellStyle name="Millares 179 2 2" xfId="4738" xr:uid="{CE3F993F-43A4-47D4-AC9D-2DE54061B84B}"/>
    <cellStyle name="Millares 179 2 2 2" xfId="12306" xr:uid="{775C06A5-1006-4B5D-AB7A-C70A9739EC07}"/>
    <cellStyle name="Millares 179 2 3" xfId="9386" xr:uid="{62B9B963-2435-43AA-9450-55624542679B}"/>
    <cellStyle name="Millares 179 3" xfId="2157" xr:uid="{A81C9F3F-CE0E-4246-A214-411DA2D90073}"/>
    <cellStyle name="Millares 179 3 2" xfId="5116" xr:uid="{0904BB0C-17E8-4BAE-9F1C-F23A5D4C78C9}"/>
    <cellStyle name="Millares 179 3 2 2" xfId="12684" xr:uid="{C8CE5E66-D3C1-4826-B910-2F1AEF479CD1}"/>
    <cellStyle name="Millares 179 3 3" xfId="9764" xr:uid="{F1ED8F7D-6827-4D16-B468-A02A37B58E9A}"/>
    <cellStyle name="Millares 179 4" xfId="3843" xr:uid="{B73F3A89-12DF-4831-821E-C4B7AFCA070A}"/>
    <cellStyle name="Millares 179 4 2" xfId="11411" xr:uid="{D1C4C9A2-68F8-4532-B5F1-36713A07764C}"/>
    <cellStyle name="Millares 179 5" xfId="8491" xr:uid="{541A9BB7-5327-4168-8948-46379693F559}"/>
    <cellStyle name="Millares 18" xfId="237" xr:uid="{B376AB42-B7C6-4EFA-B8A2-42FBA5387115}"/>
    <cellStyle name="Millares 18 2" xfId="1092" xr:uid="{5819D494-8A78-4787-84F0-BF7D0B7A3FEE}"/>
    <cellStyle name="Millares 18 2 2" xfId="4052" xr:uid="{33FA533E-BC5F-453B-87BE-2D9C61F86454}"/>
    <cellStyle name="Millares 18 2 2 2" xfId="11620" xr:uid="{6B998D00-4E14-47B0-8EE1-11848048E014}"/>
    <cellStyle name="Millares 18 2 3" xfId="8700" xr:uid="{775549D1-D1CB-417A-B26D-C56AD3A9CAC1}"/>
    <cellStyle name="Millares 18 3" xfId="1456" xr:uid="{D369029E-6A28-4E41-BC92-EABD6738CE16}"/>
    <cellStyle name="Millares 18 3 2" xfId="4416" xr:uid="{6EBDE1F9-25C2-4400-BE2F-5869D27ACC56}"/>
    <cellStyle name="Millares 18 3 2 2" xfId="11984" xr:uid="{FC33565F-E8AC-486B-9305-743371D047EF}"/>
    <cellStyle name="Millares 18 3 3" xfId="9064" xr:uid="{B65E06BB-BB9C-490C-B66F-ADCED07B929A}"/>
    <cellStyle name="Millares 18 4" xfId="1835" xr:uid="{FE7EA9A9-8022-498C-9BEB-A7F1F23C85DF}"/>
    <cellStyle name="Millares 18 4 2" xfId="4794" xr:uid="{FC17C56E-BCAA-49F1-8A8C-8B29302988C9}"/>
    <cellStyle name="Millares 18 4 2 2" xfId="12362" xr:uid="{0A5330EA-8495-4178-81E7-B90B53C736F2}"/>
    <cellStyle name="Millares 18 4 3" xfId="9442" xr:uid="{2B1F49E6-47E8-44EB-8F01-7F302D31C220}"/>
    <cellStyle name="Millares 18 5" xfId="3521" xr:uid="{96F8D248-B415-457F-BE2E-26B899A8DFE4}"/>
    <cellStyle name="Millares 18 5 2" xfId="11089" xr:uid="{ACC5A55A-C905-4193-B4C2-0997BBC05F48}"/>
    <cellStyle name="Millares 18 6" xfId="8169" xr:uid="{9A6FBEBB-8408-48A2-89F5-02204898E5AB}"/>
    <cellStyle name="Millares 180" xfId="724" xr:uid="{57E9710D-A37F-48E2-BE6F-8B5AF1FE56C9}"/>
    <cellStyle name="Millares 180 2" xfId="1780" xr:uid="{71B7A86F-F2EF-48EA-B2C8-6FDCDFCB9BFC}"/>
    <cellStyle name="Millares 180 2 2" xfId="4740" xr:uid="{6D7C0EE7-76A7-42DA-91C7-3333E122E890}"/>
    <cellStyle name="Millares 180 2 2 2" xfId="12308" xr:uid="{7BD8C946-CD64-4A94-9159-A78944552D74}"/>
    <cellStyle name="Millares 180 2 3" xfId="9388" xr:uid="{57846A67-E6C4-40C6-95FA-54EB931763C8}"/>
    <cellStyle name="Millares 180 3" xfId="2159" xr:uid="{0FC27787-FDAE-40A9-8A8E-169528425524}"/>
    <cellStyle name="Millares 180 3 2" xfId="5118" xr:uid="{AA06ABAC-1144-4DFA-872D-936F7F57366E}"/>
    <cellStyle name="Millares 180 3 2 2" xfId="12686" xr:uid="{8998CEBD-6B3B-4C2E-97AE-0835909E6F52}"/>
    <cellStyle name="Millares 180 3 3" xfId="9766" xr:uid="{8977C4F0-914F-45BC-83FC-4856C5D42C88}"/>
    <cellStyle name="Millares 180 4" xfId="3845" xr:uid="{0A1CF225-FB07-4864-9EB0-9E489F470F0A}"/>
    <cellStyle name="Millares 180 4 2" xfId="11413" xr:uid="{57C6E61F-B769-4D3E-AFFA-9AEBA5AEF6A3}"/>
    <cellStyle name="Millares 180 5" xfId="8493" xr:uid="{6E0B976E-C0DF-4295-A7BA-5E6E08902EEB}"/>
    <cellStyle name="Millares 181" xfId="727" xr:uid="{0DDF5C61-12DF-477E-87D5-F53B8589553B}"/>
    <cellStyle name="Millares 181 2" xfId="1782" xr:uid="{6D1E520A-E61A-4FF8-B29F-0EB43C0C2945}"/>
    <cellStyle name="Millares 181 2 2" xfId="4742" xr:uid="{725A74C6-FBCC-4C50-8D3C-B24A7B4D06D2}"/>
    <cellStyle name="Millares 181 2 2 2" xfId="12310" xr:uid="{5CE18D75-C6D9-438D-A714-86869B20E34F}"/>
    <cellStyle name="Millares 181 2 3" xfId="9390" xr:uid="{575579A8-2622-4A63-A5BE-B860752B5447}"/>
    <cellStyle name="Millares 181 3" xfId="2161" xr:uid="{806C841B-85A9-4009-8CD4-D5F3F15CF68B}"/>
    <cellStyle name="Millares 181 3 2" xfId="5120" xr:uid="{3965F692-DF9B-4D5E-A2BB-18D7C6F2C328}"/>
    <cellStyle name="Millares 181 3 2 2" xfId="12688" xr:uid="{D965ACAC-71F2-4979-8413-BE77B5BE43E8}"/>
    <cellStyle name="Millares 181 3 3" xfId="9768" xr:uid="{90DB38A4-C04A-4E51-94AC-9D6F1973D37F}"/>
    <cellStyle name="Millares 181 4" xfId="3847" xr:uid="{9C06E01A-6223-4641-AE30-C3A77CABA50C}"/>
    <cellStyle name="Millares 181 4 2" xfId="11415" xr:uid="{F34CB33E-795F-4810-AC70-3019BC75EB76}"/>
    <cellStyle name="Millares 181 5" xfId="8495" xr:uid="{EB69BAFC-920C-44C9-BF3A-D784E28C775B}"/>
    <cellStyle name="Millares 182" xfId="730" xr:uid="{876F5941-FFA0-4148-8A28-79A02DE793D3}"/>
    <cellStyle name="Millares 182 2" xfId="1789" xr:uid="{7F2FD946-AB87-4C40-ACFD-FD05A20E1E41}"/>
    <cellStyle name="Millares 182 2 2" xfId="4748" xr:uid="{26EF3F7B-6D36-4E3C-A6DD-4271582292A8}"/>
    <cellStyle name="Millares 182 2 2 2" xfId="12316" xr:uid="{73CBFA6E-4DC4-4073-813B-0F7C0929507A}"/>
    <cellStyle name="Millares 182 2 3" xfId="9396" xr:uid="{32111F37-0DBB-4CC8-8AEE-33AA6F3F0363}"/>
    <cellStyle name="Millares 182 3" xfId="2163" xr:uid="{E7CD6AD2-F569-4175-9028-C30B4F38189D}"/>
    <cellStyle name="Millares 182 3 2" xfId="5122" xr:uid="{3CCCACD8-EAD7-43DF-8CF3-EA8F4E5FAB17}"/>
    <cellStyle name="Millares 182 3 2 2" xfId="12690" xr:uid="{CADC0649-DABE-485E-8E05-56E9B680B9A7}"/>
    <cellStyle name="Millares 182 3 3" xfId="9770" xr:uid="{55F62C62-3DDD-40BE-BA9E-2EF61E080065}"/>
    <cellStyle name="Millares 182 4" xfId="3849" xr:uid="{4F4131ED-9F48-4F7B-BCC2-4FE38050445E}"/>
    <cellStyle name="Millares 182 4 2" xfId="11417" xr:uid="{A91C3B97-F9F2-4D55-B9C4-6FB5869313F4}"/>
    <cellStyle name="Millares 182 5" xfId="8497" xr:uid="{A4C1DFD7-791D-4670-81A4-3E29BC045CE2}"/>
    <cellStyle name="Millares 183" xfId="733" xr:uid="{D24C3466-8005-46E2-9ACC-01B261074938}"/>
    <cellStyle name="Millares 183 2" xfId="1791" xr:uid="{46129A6A-624A-4893-BAA1-970D6EC5AA84}"/>
    <cellStyle name="Millares 183 2 2" xfId="4750" xr:uid="{3490A527-9BCB-4E32-8300-00BB0C2F1151}"/>
    <cellStyle name="Millares 183 2 2 2" xfId="12318" xr:uid="{FC19CF5E-DAB2-494F-A0AD-D4B4B18A5775}"/>
    <cellStyle name="Millares 183 2 3" xfId="9398" xr:uid="{7C993D38-3E97-406A-897F-EC57AE6AF7F7}"/>
    <cellStyle name="Millares 183 3" xfId="2165" xr:uid="{D6000EA3-1859-4847-8D85-9DC006F43ED7}"/>
    <cellStyle name="Millares 183 3 2" xfId="5124" xr:uid="{7EF70A7E-FDA2-4EFC-BA04-D18DB8A4184B}"/>
    <cellStyle name="Millares 183 3 2 2" xfId="12692" xr:uid="{B9D2B9E3-FCA8-40D8-9A47-161720D9DAB2}"/>
    <cellStyle name="Millares 183 3 3" xfId="9772" xr:uid="{15D84F1B-83DB-4693-8126-70B5A6022800}"/>
    <cellStyle name="Millares 183 4" xfId="3851" xr:uid="{921E96D2-0914-47E6-8E53-84E965CBB778}"/>
    <cellStyle name="Millares 183 4 2" xfId="11419" xr:uid="{307555D9-70FF-468E-93CF-7EF98ECBEB88}"/>
    <cellStyle name="Millares 183 5" xfId="8499" xr:uid="{2FCF0CA5-EDE3-4DDD-890A-D7F00DFC5C65}"/>
    <cellStyle name="Millares 184" xfId="736" xr:uid="{EA20D5DA-248F-48ED-847F-2A668930919A}"/>
    <cellStyle name="Millares 184 2" xfId="1793" xr:uid="{BEE91D2D-A5DB-48F2-9AD0-0C95099F78DF}"/>
    <cellStyle name="Millares 184 2 2" xfId="4752" xr:uid="{72AD9848-45B3-43E6-86BF-21D83A42806A}"/>
    <cellStyle name="Millares 184 2 2 2" xfId="12320" xr:uid="{4BEB896C-C4B6-4E12-8106-8FD0B2A8FF1C}"/>
    <cellStyle name="Millares 184 2 3" xfId="9400" xr:uid="{AD883C3B-BAB4-4547-8DEF-91534D818090}"/>
    <cellStyle name="Millares 184 3" xfId="2167" xr:uid="{B4F6A624-37CD-4BAF-970B-4A662B099822}"/>
    <cellStyle name="Millares 184 3 2" xfId="5126" xr:uid="{FC546584-C3E0-45BE-A005-E9CC3271F8B6}"/>
    <cellStyle name="Millares 184 3 2 2" xfId="12694" xr:uid="{8D82D4A0-7CAB-4DCD-A7B3-3BA6E28F823D}"/>
    <cellStyle name="Millares 184 3 3" xfId="9774" xr:uid="{57166D17-4ED0-4BF3-BF7A-F2E95887DF5F}"/>
    <cellStyle name="Millares 184 4" xfId="3853" xr:uid="{81C72383-3BDE-40ED-9B0B-201A439A9649}"/>
    <cellStyle name="Millares 184 4 2" xfId="11421" xr:uid="{C6B953D9-4464-400C-A7A9-59CBB6A46BBF}"/>
    <cellStyle name="Millares 184 5" xfId="8501" xr:uid="{DB79DAE9-D44A-4A9E-89A6-3FE79B66F79B}"/>
    <cellStyle name="Millares 185" xfId="739" xr:uid="{C69221B8-5D52-4575-9A07-25370A7AA88A}"/>
    <cellStyle name="Millares 185 2" xfId="1795" xr:uid="{E7AE3C54-E540-44A4-BB39-3D206D840F69}"/>
    <cellStyle name="Millares 185 2 2" xfId="4754" xr:uid="{F58D7AE1-9E4C-433E-8438-53743DD9B31F}"/>
    <cellStyle name="Millares 185 2 2 2" xfId="12322" xr:uid="{0869575B-3914-4B2C-AC83-6393AE71D535}"/>
    <cellStyle name="Millares 185 2 3" xfId="9402" xr:uid="{8D6468E3-E822-4D72-927C-E89DBA27A297}"/>
    <cellStyle name="Millares 185 3" xfId="2169" xr:uid="{EF2C6D08-3795-4DF5-BEFA-E54F2CDEC63B}"/>
    <cellStyle name="Millares 185 3 2" xfId="5128" xr:uid="{7D0D00ED-1F56-4922-BFD4-F006D2276B23}"/>
    <cellStyle name="Millares 185 3 2 2" xfId="12696" xr:uid="{E331F2C8-A0A8-4ABC-9D42-92460BE1187F}"/>
    <cellStyle name="Millares 185 3 3" xfId="9776" xr:uid="{4B197328-1DB0-403D-8E43-D5071C6F7767}"/>
    <cellStyle name="Millares 185 4" xfId="3855" xr:uid="{8806316C-C430-42D3-8DE7-B2946147E87C}"/>
    <cellStyle name="Millares 185 4 2" xfId="11423" xr:uid="{560A0B2A-9B67-4911-92E3-53CE23283514}"/>
    <cellStyle name="Millares 185 5" xfId="8503" xr:uid="{9B40C9F8-24C4-414F-A8C7-D9E4CF9C93FC}"/>
    <cellStyle name="Millares 186" xfId="742" xr:uid="{44CE0785-3673-464A-8E7C-4436E3DD2550}"/>
    <cellStyle name="Millares 186 2" xfId="1797" xr:uid="{2A8A66C4-1BDD-4949-9FAA-127807DDDF2B}"/>
    <cellStyle name="Millares 186 2 2" xfId="4756" xr:uid="{EA69A74C-8410-48F9-AB34-60D9638A8B82}"/>
    <cellStyle name="Millares 186 2 2 2" xfId="12324" xr:uid="{FA816852-F602-44E5-9552-5A9FA57FD487}"/>
    <cellStyle name="Millares 186 2 3" xfId="9404" xr:uid="{262E3F78-A5C4-40FC-98A2-F5270DBEE8FE}"/>
    <cellStyle name="Millares 186 3" xfId="2171" xr:uid="{CD99ADAC-6D19-40E2-B6FA-CD90FACAE61E}"/>
    <cellStyle name="Millares 186 3 2" xfId="5130" xr:uid="{19A557DA-FBFE-47F6-91ED-B6E06445049F}"/>
    <cellStyle name="Millares 186 3 2 2" xfId="12698" xr:uid="{FDBA2504-0048-4ABA-A5C8-2648F6886360}"/>
    <cellStyle name="Millares 186 3 3" xfId="9778" xr:uid="{C89CA25D-8ECF-48C7-A341-B5BBB0939659}"/>
    <cellStyle name="Millares 186 4" xfId="3857" xr:uid="{83B3E661-9344-4FD8-B045-7789FADCB140}"/>
    <cellStyle name="Millares 186 4 2" xfId="11425" xr:uid="{5469880B-80F1-46BC-99A7-14FB14AAE1CC}"/>
    <cellStyle name="Millares 186 5" xfId="8505" xr:uid="{BC607F2D-0A5D-4287-B905-C4F7B191B138}"/>
    <cellStyle name="Millares 187" xfId="745" xr:uid="{F8836FB4-DB1D-4656-A094-95DA70691023}"/>
    <cellStyle name="Millares 187 2" xfId="1799" xr:uid="{C1A4636C-F152-4F63-BCA0-07AB8CD69A08}"/>
    <cellStyle name="Millares 187 2 2" xfId="4758" xr:uid="{B02C0B75-3A7F-4FD3-8F8B-8ED0831E2290}"/>
    <cellStyle name="Millares 187 2 2 2" xfId="12326" xr:uid="{5A402167-497A-4F08-87D1-1AC27948DAE7}"/>
    <cellStyle name="Millares 187 2 3" xfId="9406" xr:uid="{906EE36F-1538-43C2-8014-1A08E32EE065}"/>
    <cellStyle name="Millares 187 3" xfId="2173" xr:uid="{8CB7FA1C-F2B6-4EE1-94C5-E1A997DCFA7B}"/>
    <cellStyle name="Millares 187 3 2" xfId="5132" xr:uid="{CAC40A52-A81B-4ABC-898A-F8DB59BC7D09}"/>
    <cellStyle name="Millares 187 3 2 2" xfId="12700" xr:uid="{04E8594C-947B-4A6F-84F4-49AC7A859BF2}"/>
    <cellStyle name="Millares 187 3 3" xfId="9780" xr:uid="{6DE5F734-6B33-4681-B836-8265ECB1D31D}"/>
    <cellStyle name="Millares 187 4" xfId="3859" xr:uid="{E82C84A8-4F62-4C31-8DE6-F32B5D01CAB1}"/>
    <cellStyle name="Millares 187 4 2" xfId="11427" xr:uid="{A152F6B0-8351-4511-964E-3FE4DD83FD48}"/>
    <cellStyle name="Millares 187 5" xfId="8507" xr:uid="{24E6351C-B370-4EA3-B782-FD80F51CD6FA}"/>
    <cellStyle name="Millares 188" xfId="748" xr:uid="{3DC2AD12-7936-47DA-8D1F-1E7302B8FDC0}"/>
    <cellStyle name="Millares 188 2" xfId="2175" xr:uid="{B7FAD11A-9F13-4E09-8993-DCA5EE2D4741}"/>
    <cellStyle name="Millares 188 2 2" xfId="5134" xr:uid="{96545FF6-073A-4AB7-9861-D6969FF8F928}"/>
    <cellStyle name="Millares 188 2 2 2" xfId="12702" xr:uid="{27868586-AD79-43B3-83B9-41CDABEE63DC}"/>
    <cellStyle name="Millares 188 2 3" xfId="9782" xr:uid="{4C972140-8153-4A1F-A276-B1F07F906565}"/>
    <cellStyle name="Millares 188 3" xfId="3861" xr:uid="{41517CB9-DBA0-4C24-903D-EB581099CED8}"/>
    <cellStyle name="Millares 188 3 2" xfId="11429" xr:uid="{27FB909A-F52A-4CAE-95C9-D3A021BA2DFB}"/>
    <cellStyle name="Millares 188 4" xfId="8509" xr:uid="{B0163D7E-37D6-4445-9214-6D8282906E0D}"/>
    <cellStyle name="Millares 189" xfId="751" xr:uid="{5CA69C28-0D13-46E0-9FB0-B06512777690}"/>
    <cellStyle name="Millares 189 2" xfId="2177" xr:uid="{DA293917-1382-463E-9C26-3B322B17547F}"/>
    <cellStyle name="Millares 189 2 2" xfId="5136" xr:uid="{F9AE106D-46AD-462D-AC97-E3CE9B0E4516}"/>
    <cellStyle name="Millares 189 2 2 2" xfId="12704" xr:uid="{F929473F-7B20-458B-B667-61477C930DF0}"/>
    <cellStyle name="Millares 189 2 3" xfId="9784" xr:uid="{DF7F2A4B-9873-4146-9716-1091F368BE54}"/>
    <cellStyle name="Millares 189 3" xfId="3863" xr:uid="{5E5696EC-A3A7-43BA-8EAE-D12DA3DF9E13}"/>
    <cellStyle name="Millares 189 3 2" xfId="11431" xr:uid="{50EB22D3-B841-4360-BB24-1FC549E93C4F}"/>
    <cellStyle name="Millares 189 4" xfId="8511" xr:uid="{270ABDE6-40EE-4F2A-A3F1-0CE610725DF8}"/>
    <cellStyle name="Millares 19" xfId="240" xr:uid="{81115F98-5447-4A9A-8D65-AE0144C5FC92}"/>
    <cellStyle name="Millares 19 2" xfId="1094" xr:uid="{D5D3DA40-7F25-4BED-B166-4C186B6996CE}"/>
    <cellStyle name="Millares 19 2 2" xfId="4054" xr:uid="{8061DA27-8B76-4F4B-9A32-3AC58A2096F3}"/>
    <cellStyle name="Millares 19 2 2 2" xfId="11622" xr:uid="{177322E7-9426-4417-B0C4-27FC019CABBF}"/>
    <cellStyle name="Millares 19 2 3" xfId="8702" xr:uid="{D31EFB0E-C477-4B08-83C7-336DA0955C67}"/>
    <cellStyle name="Millares 19 3" xfId="1458" xr:uid="{5E400881-97B5-4C54-A2EE-C36295C0D596}"/>
    <cellStyle name="Millares 19 3 2" xfId="4418" xr:uid="{D804B58D-7338-4D88-85D7-C88FE092F5FA}"/>
    <cellStyle name="Millares 19 3 2 2" xfId="11986" xr:uid="{C0EC35BD-8CD7-40DB-BDBE-2308607F7268}"/>
    <cellStyle name="Millares 19 3 3" xfId="9066" xr:uid="{411711F2-8F51-4AD2-9318-967CCCF48F50}"/>
    <cellStyle name="Millares 19 4" xfId="1837" xr:uid="{9CD262A0-5011-4972-B1C1-9537C4D60050}"/>
    <cellStyle name="Millares 19 4 2" xfId="4796" xr:uid="{FB606331-AF0F-4C81-BDBE-8FB75418BF80}"/>
    <cellStyle name="Millares 19 4 2 2" xfId="12364" xr:uid="{B16D6C93-6ADB-4291-8494-0CD0FFE4CEAF}"/>
    <cellStyle name="Millares 19 4 3" xfId="9444" xr:uid="{044DF925-CD7A-44FD-A153-ECC5D51009C2}"/>
    <cellStyle name="Millares 19 5" xfId="3523" xr:uid="{80C557DE-0C7B-4C34-B8A6-AA133ED852EE}"/>
    <cellStyle name="Millares 19 5 2" xfId="11091" xr:uid="{53D713C9-BF2A-4B40-9889-78BFB00DBFDA}"/>
    <cellStyle name="Millares 19 6" xfId="8171" xr:uid="{D591135A-ECBF-42DB-942D-82B54ADF21D5}"/>
    <cellStyle name="Millares 190" xfId="754" xr:uid="{EFDC84FF-25F7-4133-A432-431278F43366}"/>
    <cellStyle name="Millares 190 2" xfId="2179" xr:uid="{AC6F9978-7CB1-42EC-9D13-77B9C7B77FBC}"/>
    <cellStyle name="Millares 190 2 2" xfId="5138" xr:uid="{9B4A4B6D-87F1-46F1-B5DB-027ED6FDC03B}"/>
    <cellStyle name="Millares 190 2 2 2" xfId="12706" xr:uid="{30F9AFD0-E4DC-4D94-B22D-BFF46F8794D9}"/>
    <cellStyle name="Millares 190 2 3" xfId="9786" xr:uid="{33187C04-0593-4BA4-B99E-BDCA7AB3EFB8}"/>
    <cellStyle name="Millares 190 3" xfId="3865" xr:uid="{D84E48C7-763B-49A8-BA45-26C8C0694866}"/>
    <cellStyle name="Millares 190 3 2" xfId="11433" xr:uid="{D5971767-ADD8-4623-92DF-C4BEB8DEC843}"/>
    <cellStyle name="Millares 190 4" xfId="8513" xr:uid="{ECE82A86-150E-4D98-8842-BA223356CF86}"/>
    <cellStyle name="Millares 191" xfId="757" xr:uid="{C601B043-FDBD-45D6-8171-B362016F8715}"/>
    <cellStyle name="Millares 191 2" xfId="2181" xr:uid="{0081AFF7-CB5E-4CEC-A553-8D1002D7B4C8}"/>
    <cellStyle name="Millares 191 2 2" xfId="5140" xr:uid="{0DB38D48-FBEA-4D04-94AD-39051D5692CA}"/>
    <cellStyle name="Millares 191 2 2 2" xfId="12708" xr:uid="{EB9F859C-913A-4D5B-B232-BFBD2CBBC064}"/>
    <cellStyle name="Millares 191 2 3" xfId="9788" xr:uid="{E2083631-23FA-4AE8-8638-0B0071BBBABC}"/>
    <cellStyle name="Millares 191 3" xfId="3867" xr:uid="{F19D2E51-8C90-4AAB-96F8-2010AE73FC20}"/>
    <cellStyle name="Millares 191 3 2" xfId="11435" xr:uid="{865ED89E-1961-44BE-AD0A-A241D6369474}"/>
    <cellStyle name="Millares 191 4" xfId="8515" xr:uid="{1D009ACB-2598-4733-8B49-0E7B89E160C4}"/>
    <cellStyle name="Millares 192" xfId="760" xr:uid="{A2BF4693-CB69-47DD-89B5-79323EF21A65}"/>
    <cellStyle name="Millares 192 2" xfId="2183" xr:uid="{4AB614A8-E478-4454-8FA5-3F2B9DB44F0C}"/>
    <cellStyle name="Millares 192 2 2" xfId="5142" xr:uid="{2AD87EAC-03F3-4ABE-A960-0A624F9B8857}"/>
    <cellStyle name="Millares 192 2 2 2" xfId="12710" xr:uid="{F9F8F8E5-9D29-41BA-AE30-49ED021114AA}"/>
    <cellStyle name="Millares 192 2 3" xfId="9790" xr:uid="{F7B7B2AF-48B3-4539-A884-0C2D5CE0EFA9}"/>
    <cellStyle name="Millares 192 3" xfId="3869" xr:uid="{91A562EC-1A85-4D7B-BAFB-6369FA2A40E9}"/>
    <cellStyle name="Millares 192 3 2" xfId="11437" xr:uid="{A92549E9-30D6-48A9-A7F0-3E8768F8D5CE}"/>
    <cellStyle name="Millares 192 4" xfId="8517" xr:uid="{F43B18C8-45E2-48C6-9F98-3E6787B64310}"/>
    <cellStyle name="Millares 193" xfId="763" xr:uid="{F69D99A9-92C5-40E2-81BF-F221A3301216}"/>
    <cellStyle name="Millares 193 2" xfId="2185" xr:uid="{15DCCE9D-AF74-4843-9A2B-86609EBC0D57}"/>
    <cellStyle name="Millares 193 2 2" xfId="5144" xr:uid="{848EF2EB-C21D-41AC-ADFD-EF92B6E043E8}"/>
    <cellStyle name="Millares 193 2 2 2" xfId="12712" xr:uid="{5CBFB969-8208-4B5E-BDB5-7485C0D73B3B}"/>
    <cellStyle name="Millares 193 2 3" xfId="9792" xr:uid="{875F9B4D-AB2A-42B5-B738-A4526E603E69}"/>
    <cellStyle name="Millares 193 3" xfId="3871" xr:uid="{3AD1D18D-59A0-42CE-A165-86F1F3508EBB}"/>
    <cellStyle name="Millares 193 3 2" xfId="11439" xr:uid="{02C13120-F6C2-4C72-A6FE-402DBCD88D53}"/>
    <cellStyle name="Millares 193 4" xfId="8519" xr:uid="{B93A7A88-B4E5-4800-9B5A-F2DB4FACDAE4}"/>
    <cellStyle name="Millares 194" xfId="766" xr:uid="{C37C3006-18EF-44AC-A0A8-64F88F962BD1}"/>
    <cellStyle name="Millares 194 2" xfId="2187" xr:uid="{15BB4D5F-7CC2-4D8F-A9DB-7C511DE82395}"/>
    <cellStyle name="Millares 194 2 2" xfId="5146" xr:uid="{D2D8AE2B-6101-4778-8C20-BB696D252D28}"/>
    <cellStyle name="Millares 194 2 2 2" xfId="12714" xr:uid="{A4BCD732-4654-4E53-928D-D4B17A025EF7}"/>
    <cellStyle name="Millares 194 2 3" xfId="9794" xr:uid="{F1ACAC28-9151-4CD6-851C-A15841254BD0}"/>
    <cellStyle name="Millares 194 3" xfId="3873" xr:uid="{68BD947C-9ECE-4A13-8B60-CD6E8B3458A3}"/>
    <cellStyle name="Millares 194 3 2" xfId="11441" xr:uid="{2E873D56-DE1F-43C3-A254-599B2D76874A}"/>
    <cellStyle name="Millares 194 4" xfId="8521" xr:uid="{1A62C27D-0933-4F77-8099-63C3D45D06A9}"/>
    <cellStyle name="Millares 195" xfId="769" xr:uid="{0BA06CF5-A639-4D18-AB7B-943B1E696AE8}"/>
    <cellStyle name="Millares 195 2" xfId="2189" xr:uid="{DF955333-9D8C-4077-990C-0E4A438FCA79}"/>
    <cellStyle name="Millares 195 2 2" xfId="5148" xr:uid="{A269EA21-9B15-44A8-A6EE-058C9366517F}"/>
    <cellStyle name="Millares 195 2 2 2" xfId="12716" xr:uid="{C92E020B-AAF5-494F-9C4A-116FFA383C84}"/>
    <cellStyle name="Millares 195 2 3" xfId="9796" xr:uid="{66B0100E-1F3F-4332-9AA7-0B4DDA93211A}"/>
    <cellStyle name="Millares 195 3" xfId="3875" xr:uid="{CCB4E658-13A0-4CB4-BA3B-E402B2006B2D}"/>
    <cellStyle name="Millares 195 3 2" xfId="11443" xr:uid="{F77EF1FC-80B0-41A0-B840-0782DE2B4237}"/>
    <cellStyle name="Millares 195 4" xfId="8523" xr:uid="{B359F3C2-7CAE-4EDA-A9F4-AA13DA3A14FD}"/>
    <cellStyle name="Millares 196" xfId="772" xr:uid="{255E41EE-00EA-47AF-AC8C-71462096AAE4}"/>
    <cellStyle name="Millares 196 2" xfId="2191" xr:uid="{E952C940-0CFF-4279-AE1E-C956D0E90082}"/>
    <cellStyle name="Millares 196 2 2" xfId="5150" xr:uid="{B09660CB-CD68-4DE2-9139-C46C0EBB78B5}"/>
    <cellStyle name="Millares 196 2 2 2" xfId="12718" xr:uid="{65C5D623-DDF2-484C-B535-EF7CFFE4ED1E}"/>
    <cellStyle name="Millares 196 2 3" xfId="9798" xr:uid="{1B1BBFE4-492B-45B8-B3D6-4253E6A10814}"/>
    <cellStyle name="Millares 196 3" xfId="3877" xr:uid="{5FEC3B7B-59A7-4847-AC35-91AF9592C8C7}"/>
    <cellStyle name="Millares 196 3 2" xfId="11445" xr:uid="{B39426FC-90F0-4596-B2F0-20CCEB5D98D3}"/>
    <cellStyle name="Millares 196 4" xfId="8525" xr:uid="{1FAA50F1-4810-4963-AB0B-3AB12351BC03}"/>
    <cellStyle name="Millares 197" xfId="775" xr:uid="{12012557-1F48-4C3A-A2C2-612F0DBBFB78}"/>
    <cellStyle name="Millares 197 2" xfId="2193" xr:uid="{80A3F30A-7F8C-46C1-B39B-55E4E230218A}"/>
    <cellStyle name="Millares 197 2 2" xfId="5152" xr:uid="{503D4EE1-8FFA-4467-BD7B-F97C9A7DBF21}"/>
    <cellStyle name="Millares 197 2 2 2" xfId="12720" xr:uid="{1D6F922B-87D5-4422-938E-9BC850B3C563}"/>
    <cellStyle name="Millares 197 2 3" xfId="9800" xr:uid="{42AD2767-18AC-4EE3-AA55-C6D7E3F6EEDA}"/>
    <cellStyle name="Millares 197 3" xfId="3879" xr:uid="{389FBB37-B74F-43C5-95FC-6101B05F839E}"/>
    <cellStyle name="Millares 197 3 2" xfId="11447" xr:uid="{C687852C-7239-4624-A0DE-C4E103098D87}"/>
    <cellStyle name="Millares 197 4" xfId="8527" xr:uid="{554DB085-B6E4-4D69-83E1-624B68D1614E}"/>
    <cellStyle name="Millares 198" xfId="778" xr:uid="{E298DF4B-4474-4E2C-9EBF-68036D068173}"/>
    <cellStyle name="Millares 198 2" xfId="2195" xr:uid="{30ABFB4F-3448-4930-AD45-7E52F9175641}"/>
    <cellStyle name="Millares 198 2 2" xfId="5154" xr:uid="{DD9B3264-AA66-44B5-B3E7-4CF0E864DB9F}"/>
    <cellStyle name="Millares 198 2 2 2" xfId="12722" xr:uid="{549788A7-8104-43C2-8BCC-6FA0FBD36A49}"/>
    <cellStyle name="Millares 198 2 3" xfId="9802" xr:uid="{D1BC9E37-B4A6-4305-AD6B-C387BC59138A}"/>
    <cellStyle name="Millares 198 3" xfId="3881" xr:uid="{0A06E466-7BC8-4753-B422-9D7A3971687F}"/>
    <cellStyle name="Millares 198 3 2" xfId="11449" xr:uid="{FFC58772-96AA-485F-9B8E-B863612B9B38}"/>
    <cellStyle name="Millares 198 4" xfId="8529" xr:uid="{6FD49D7E-AAEE-4A34-B90A-D39ADBCB216D}"/>
    <cellStyle name="Millares 199" xfId="781" xr:uid="{6B7FDFE2-2AD0-4D3E-B544-42A12822E264}"/>
    <cellStyle name="Millares 199 2" xfId="2197" xr:uid="{3C452AF4-9D68-4CA0-8096-48F1B6CD5596}"/>
    <cellStyle name="Millares 199 2 2" xfId="5156" xr:uid="{84C23042-D6CC-4B3E-B205-BE94E439378C}"/>
    <cellStyle name="Millares 199 2 2 2" xfId="12724" xr:uid="{FACE35A3-2B74-45E7-B30F-A4C8873FA962}"/>
    <cellStyle name="Millares 199 2 3" xfId="9804" xr:uid="{02B52C30-7A18-4E7C-BA1B-D51EFB612705}"/>
    <cellStyle name="Millares 199 3" xfId="3883" xr:uid="{E50906D0-2427-49E6-8F08-C410040B5807}"/>
    <cellStyle name="Millares 199 3 2" xfId="11451" xr:uid="{5E1867A3-9ED4-42FA-B7BA-60B53DEC609D}"/>
    <cellStyle name="Millares 199 4" xfId="8531" xr:uid="{B979A747-B6CA-4C98-A7E5-D87AA5BF7673}"/>
    <cellStyle name="Millares 2" xfId="32" xr:uid="{00000000-0005-0000-0000-00004D000000}"/>
    <cellStyle name="Millares 2 10" xfId="2938" xr:uid="{DC8544CB-A0F9-40D3-949D-95C9E67ADFF8}"/>
    <cellStyle name="Millares 2 10 2" xfId="5942" xr:uid="{CC943C3B-D453-490D-89D6-D010DCF08C52}"/>
    <cellStyle name="Millares 2 10 2 2" xfId="13503" xr:uid="{7722E2C3-E8DC-4517-90F4-07676902117E}"/>
    <cellStyle name="Millares 2 10 3" xfId="7346" xr:uid="{9B780FA8-D3B9-4865-9452-C473C2446AAA}"/>
    <cellStyle name="Millares 2 10 3 2" xfId="14875" xr:uid="{09F68F4D-B86A-425F-8295-FC81AA1B3E0E}"/>
    <cellStyle name="Millares 2 10 4" xfId="10520" xr:uid="{E03939E5-B49B-4994-B65F-A2B2C81CD122}"/>
    <cellStyle name="Millares 2 11" xfId="3062" xr:uid="{3C6C0B09-0271-4D21-81D6-F02C29F8BC18}"/>
    <cellStyle name="Millares 2 11 2" xfId="6066" xr:uid="{B0D5E241-61AB-46EA-AA1B-DB28FD161A2D}"/>
    <cellStyle name="Millares 2 11 2 2" xfId="13627" xr:uid="{2A3D5F26-BEAA-4E81-9E60-2EBAFE55EDA6}"/>
    <cellStyle name="Millares 2 11 3" xfId="7470" xr:uid="{B7338F5E-FABA-4CED-B7A3-4045BA9F7909}"/>
    <cellStyle name="Millares 2 11 3 2" xfId="14999" xr:uid="{CE3DD374-B55E-4941-BD36-0667C84CB597}"/>
    <cellStyle name="Millares 2 11 4" xfId="10644" xr:uid="{952F1C09-8B1B-4EE7-8C54-51BEFC36AE9B}"/>
    <cellStyle name="Millares 2 12" xfId="3187" xr:uid="{9EB67A25-70C5-463E-AD57-FCBE99CC750C}"/>
    <cellStyle name="Millares 2 12 2" xfId="6191" xr:uid="{A56A7495-5D60-429C-9270-4155CB85FD25}"/>
    <cellStyle name="Millares 2 12 2 2" xfId="13752" xr:uid="{F6C99C39-4BF9-4366-B653-4A6F0ABB898E}"/>
    <cellStyle name="Millares 2 12 3" xfId="7595" xr:uid="{B716A155-BEB9-4966-ACCA-0E4568BC57E7}"/>
    <cellStyle name="Millares 2 12 3 2" xfId="15124" xr:uid="{9CB2AD63-71EB-494E-BA72-B83274FE442B}"/>
    <cellStyle name="Millares 2 12 4" xfId="10769" xr:uid="{9E84BB9A-20EF-4584-BFA4-E9DE1F988185}"/>
    <cellStyle name="Millares 2 13" xfId="3315" xr:uid="{17252D5C-0DD7-480F-8F8C-32139E0F7707}"/>
    <cellStyle name="Millares 2 13 2" xfId="6317" xr:uid="{673C297F-9592-4597-BF69-9BA602A28643}"/>
    <cellStyle name="Millares 2 13 2 2" xfId="13878" xr:uid="{E976C064-49E3-478B-8E7A-9DA1FFBFD80D}"/>
    <cellStyle name="Millares 2 13 3" xfId="7721" xr:uid="{27C33F2E-0817-4AFF-873E-4DAA55A37335}"/>
    <cellStyle name="Millares 2 13 3 2" xfId="15250" xr:uid="{4E4CED1F-8559-4388-A92E-44C984B7DC27}"/>
    <cellStyle name="Millares 2 13 4" xfId="10895" xr:uid="{E9AE0A60-1CF3-40AB-B2D3-CD24CBED6BA3}"/>
    <cellStyle name="Millares 2 14" xfId="2315" xr:uid="{879E4B23-5BF6-4C0A-9EE0-D0F84BC71E8C}"/>
    <cellStyle name="Millares 2 14 2" xfId="6445" xr:uid="{821C946D-3D28-4F33-86F5-09539A45329E}"/>
    <cellStyle name="Millares 2 14 2 2" xfId="14005" xr:uid="{D23AA34E-1232-4239-AADF-50A8949CFCA9}"/>
    <cellStyle name="Millares 2 14 3" xfId="7848" xr:uid="{D1ECFDD2-02B9-45F0-85E1-9E596FB89957}"/>
    <cellStyle name="Millares 2 14 3 2" xfId="15377" xr:uid="{F27CD3F9-F397-409B-8ADC-EB042EB4EEC5}"/>
    <cellStyle name="Millares 2 14 4" xfId="9915" xr:uid="{CCCE7BBD-DC01-4B9E-9C68-33914FDFE23D}"/>
    <cellStyle name="Millares 2 15" xfId="3471" xr:uid="{5B510B13-A77C-4994-A8D3-D0B96EBD0E55}"/>
    <cellStyle name="Millares 2 15 2" xfId="11039" xr:uid="{A137461D-9BFF-4994-817D-905D945CFCC0}"/>
    <cellStyle name="Millares 2 16" xfId="5336" xr:uid="{8B6F9D16-A532-41B4-AEDE-E9F39AAAF27B}"/>
    <cellStyle name="Millares 2 16 2" xfId="12897" xr:uid="{70002340-84CA-4076-99A8-0BD21D68DD91}"/>
    <cellStyle name="Millares 2 17" xfId="6739" xr:uid="{A2CC2B8E-54BC-4187-AFE3-1E3A772F7AE7}"/>
    <cellStyle name="Millares 2 17 2" xfId="14268" xr:uid="{360B4A8E-99EA-45EE-9825-58B732181D0E}"/>
    <cellStyle name="Millares 2 18" xfId="8110" xr:uid="{68CC4CAB-4E2D-4D76-ABC9-B694C2B854CF}"/>
    <cellStyle name="Millares 2 18 2" xfId="15634" xr:uid="{1F38AF7A-13D7-4A58-9F25-D0E652AFA8AF}"/>
    <cellStyle name="Millares 2 19" xfId="8119" xr:uid="{A15A0672-8991-4E17-8ED9-91CE39F028F6}"/>
    <cellStyle name="Millares 2 2" xfId="176" xr:uid="{9640A923-A7D9-49FD-B037-1B18D3E20E99}"/>
    <cellStyle name="Millares 2 2 10" xfId="3360" xr:uid="{4F230D5C-9D8F-4774-AA02-F479B851024F}"/>
    <cellStyle name="Millares 2 2 10 2" xfId="6362" xr:uid="{CDC310B8-77EA-40FB-97F3-AA02AAAA48D0}"/>
    <cellStyle name="Millares 2 2 10 2 2" xfId="13923" xr:uid="{FCCBA3EC-DC3F-4693-B227-A5DF37A96E4F}"/>
    <cellStyle name="Millares 2 2 10 3" xfId="7766" xr:uid="{2E8A7C8D-B390-47DE-9191-589EC41EBFAE}"/>
    <cellStyle name="Millares 2 2 10 3 2" xfId="15295" xr:uid="{F981D1A3-034F-4C8E-97B5-ED9ACA365B05}"/>
    <cellStyle name="Millares 2 2 10 4" xfId="10940" xr:uid="{7EC74023-A2A7-4935-BB15-954F2F297B25}"/>
    <cellStyle name="Millares 2 2 11" xfId="2362" xr:uid="{A6B51613-42AF-46A8-9C53-2796BABA6F23}"/>
    <cellStyle name="Millares 2 2 11 2" xfId="6498" xr:uid="{91DA71C2-4A9A-4337-8950-3BB9FA213BD3}"/>
    <cellStyle name="Millares 2 2 11 2 2" xfId="14054" xr:uid="{168D3D4B-A977-4989-B6C2-42B86029E65D}"/>
    <cellStyle name="Millares 2 2 11 3" xfId="7897" xr:uid="{166247E8-85C8-440E-9590-10417F4E65FE}"/>
    <cellStyle name="Millares 2 2 11 3 2" xfId="15426" xr:uid="{2CFE26CB-41E4-47FA-97C4-A29C4A00D22F}"/>
    <cellStyle name="Millares 2 2 11 4" xfId="9955" xr:uid="{B4D296F3-4CC0-484E-A024-215A354DE143}"/>
    <cellStyle name="Millares 2 2 12" xfId="3483" xr:uid="{68F5B41C-DE3D-436A-B146-3373922E87C7}"/>
    <cellStyle name="Millares 2 2 12 2" xfId="11051" xr:uid="{3A1AE557-C10D-488D-A3C1-D49DDECB0487}"/>
    <cellStyle name="Millares 2 2 13" xfId="5377" xr:uid="{94E43B66-C7C5-4AB7-9100-9A24013A7FAD}"/>
    <cellStyle name="Millares 2 2 13 2" xfId="12938" xr:uid="{A2E3A45B-87FE-4563-AC56-D657E87DDFFF}"/>
    <cellStyle name="Millares 2 2 14" xfId="6781" xr:uid="{2C4EE3C6-92DD-4A66-BF51-687886A18A08}"/>
    <cellStyle name="Millares 2 2 14 2" xfId="14310" xr:uid="{DC24B1DF-20EE-4A91-B097-E9FF86C3B736}"/>
    <cellStyle name="Millares 2 2 15" xfId="8131" xr:uid="{9D2A996D-84E9-49C3-8182-4164327D895D}"/>
    <cellStyle name="Millares 2 2 2" xfId="2425" xr:uid="{1630C773-9C17-4079-9D69-EC197CE1B5F0}"/>
    <cellStyle name="Millares 2 2 2 10" xfId="6556" xr:uid="{AF3BA64E-E4E4-42B8-AFA8-1E7B894A5159}"/>
    <cellStyle name="Millares 2 2 2 10 2" xfId="7955" xr:uid="{C6622259-9380-42C2-9F92-7669D201F944}"/>
    <cellStyle name="Millares 2 2 2 10 2 2" xfId="15484" xr:uid="{F0508973-BD7E-4D5A-80FC-981FD17416E8}"/>
    <cellStyle name="Millares 2 2 2 10 3" xfId="14112" xr:uid="{21F00A39-769F-4C4B-8396-1E23C3E682C5}"/>
    <cellStyle name="Millares 2 2 2 11" xfId="5435" xr:uid="{59E9D44A-C59F-4DCD-ABFF-C30EE3521B00}"/>
    <cellStyle name="Millares 2 2 2 11 2" xfId="12996" xr:uid="{A1424156-2BD8-437B-85EB-D0C620B9E038}"/>
    <cellStyle name="Millares 2 2 2 12" xfId="6839" xr:uid="{047E8B43-B415-453E-AFB3-4DD11BD02310}"/>
    <cellStyle name="Millares 2 2 2 12 2" xfId="14368" xr:uid="{B143D2CA-6E6F-4715-AB9D-6D2A80D44383}"/>
    <cellStyle name="Millares 2 2 2 13" xfId="10013" xr:uid="{A46CBB2C-50A9-4F08-A313-A39D44DE68DD}"/>
    <cellStyle name="Millares 2 2 2 2" xfId="2549" xr:uid="{7FF19266-D059-41C6-BA4B-11559BE1C4A2}"/>
    <cellStyle name="Millares 2 2 2 2 2" xfId="6691" xr:uid="{23CD6698-512A-4D68-94B2-E5D7C2E99DA9}"/>
    <cellStyle name="Millares 2 2 2 2 2 2" xfId="8077" xr:uid="{86D6F7FE-0318-4B10-9F6D-16A24A283159}"/>
    <cellStyle name="Millares 2 2 2 2 2 2 2" xfId="15606" xr:uid="{CDA6B617-A034-40DC-9860-A93C062295A8}"/>
    <cellStyle name="Millares 2 2 2 2 2 3" xfId="14234" xr:uid="{59FEB4C3-F039-4719-8E74-9C0053546207}"/>
    <cellStyle name="Millares 2 2 2 2 3" xfId="5555" xr:uid="{7F8D9A88-8613-4A16-BF13-6B3AF69604A5}"/>
    <cellStyle name="Millares 2 2 2 2 3 2" xfId="13116" xr:uid="{EECD5565-8C7D-425F-9E55-96F6100590C9}"/>
    <cellStyle name="Millares 2 2 2 2 4" xfId="6959" xr:uid="{294CB088-3043-4CDF-824B-425CB8F01783}"/>
    <cellStyle name="Millares 2 2 2 2 4 2" xfId="14488" xr:uid="{0FFE23B7-AA12-4E8E-A25B-B4074B12775A}"/>
    <cellStyle name="Millares 2 2 2 2 5" xfId="10133" xr:uid="{65C58D23-D089-4410-AD23-7CE4DC1D1DFA}"/>
    <cellStyle name="Millares 2 2 2 3" xfId="2670" xr:uid="{A847F549-E067-423B-968A-15602BACBD26}"/>
    <cellStyle name="Millares 2 2 2 3 2" xfId="5675" xr:uid="{5271ED77-570F-4C5A-B395-082AC168C496}"/>
    <cellStyle name="Millares 2 2 2 3 2 2" xfId="13236" xr:uid="{FC3618A1-2D58-4BF1-B076-CE62C4FB396E}"/>
    <cellStyle name="Millares 2 2 2 3 3" xfId="7079" xr:uid="{25A90F48-37AF-48CC-B366-85F40A35A35B}"/>
    <cellStyle name="Millares 2 2 2 3 3 2" xfId="14608" xr:uid="{B7B5FC01-3969-4A34-9CEE-10218F70580D}"/>
    <cellStyle name="Millares 2 2 2 3 4" xfId="10253" xr:uid="{19310F2D-6F0B-43C6-8EBE-343553AA117B}"/>
    <cellStyle name="Millares 2 2 2 4" xfId="2792" xr:uid="{70D046EA-C857-4DA7-898F-A45367E485F2}"/>
    <cellStyle name="Millares 2 2 2 4 2" xfId="5797" xr:uid="{FE460B07-14B8-4CC1-BBB9-880F58B38427}"/>
    <cellStyle name="Millares 2 2 2 4 2 2" xfId="13358" xr:uid="{EEB2EEA0-13FA-402B-B51B-902618A3BF6B}"/>
    <cellStyle name="Millares 2 2 2 4 3" xfId="7201" xr:uid="{8D47AD8D-D5FC-453B-9FA2-714BC2DA5234}"/>
    <cellStyle name="Millares 2 2 2 4 3 2" xfId="14730" xr:uid="{51B2515D-A1AD-4356-B81F-AE16D1AFB9B2}"/>
    <cellStyle name="Millares 2 2 2 4 4" xfId="10375" xr:uid="{E48EED33-5A03-4B08-9D70-F91570990EF9}"/>
    <cellStyle name="Millares 2 2 2 5" xfId="2917" xr:uid="{4929B7F6-A5F1-42A9-A8E9-2E7AA24C3436}"/>
    <cellStyle name="Millares 2 2 2 5 2" xfId="5921" xr:uid="{90A87860-0183-4B57-BF30-35AFD389044E}"/>
    <cellStyle name="Millares 2 2 2 5 2 2" xfId="13482" xr:uid="{7385354B-8019-4E8A-8037-2E2FC9BE31A7}"/>
    <cellStyle name="Millares 2 2 2 5 3" xfId="7325" xr:uid="{03CF7355-5D3F-45E6-8ECC-FD784A2F2EDC}"/>
    <cellStyle name="Millares 2 2 2 5 3 2" xfId="14854" xr:uid="{43C39DB8-D94C-453D-B0D0-B37F7891BB1A}"/>
    <cellStyle name="Millares 2 2 2 5 4" xfId="10499" xr:uid="{A71DEB7B-8B2B-4E5E-B0BE-7D0324A50CEA}"/>
    <cellStyle name="Millares 2 2 2 6" xfId="3041" xr:uid="{99723704-143E-44C6-8516-63AD9101B960}"/>
    <cellStyle name="Millares 2 2 2 6 2" xfId="6045" xr:uid="{D9211A37-6CFD-4913-AE13-54E874FF7A33}"/>
    <cellStyle name="Millares 2 2 2 6 2 2" xfId="13606" xr:uid="{FEEE9102-1E9A-4445-A248-52ABEC26CC8F}"/>
    <cellStyle name="Millares 2 2 2 6 3" xfId="7449" xr:uid="{AD55287E-8BBC-40AA-8E06-647C39569BFF}"/>
    <cellStyle name="Millares 2 2 2 6 3 2" xfId="14978" xr:uid="{6DF08906-7468-4751-B4E3-8AB98EAB0C0D}"/>
    <cellStyle name="Millares 2 2 2 6 4" xfId="10623" xr:uid="{D369E3C2-67C8-40AA-A6F0-19E1D4F3E3CD}"/>
    <cellStyle name="Millares 2 2 2 7" xfId="3165" xr:uid="{EAD5F36D-EDB5-4E81-8BCB-3AF8B44B50D3}"/>
    <cellStyle name="Millares 2 2 2 7 2" xfId="6169" xr:uid="{E5F82C6B-A16E-427A-B745-4807196296AF}"/>
    <cellStyle name="Millares 2 2 2 7 2 2" xfId="13730" xr:uid="{4CD1B6E6-F591-463C-ACE1-05D4DEBC3403}"/>
    <cellStyle name="Millares 2 2 2 7 3" xfId="7573" xr:uid="{8811236F-2408-4D1E-AD50-605B76240E5F}"/>
    <cellStyle name="Millares 2 2 2 7 3 2" xfId="15102" xr:uid="{BD1E6ABA-94F3-48D2-AC07-A7255DD5B096}"/>
    <cellStyle name="Millares 2 2 2 7 4" xfId="10747" xr:uid="{A856D51C-AC25-41CE-B2E2-35B333C40818}"/>
    <cellStyle name="Millares 2 2 2 8" xfId="3290" xr:uid="{0DD6B784-C7B0-46FC-AA58-788E2D342A2E}"/>
    <cellStyle name="Millares 2 2 2 8 2" xfId="6294" xr:uid="{1FF440A2-85DF-44B8-ADF8-BAB80BACAFF0}"/>
    <cellStyle name="Millares 2 2 2 8 2 2" xfId="13855" xr:uid="{B0F42271-2E9F-462E-8327-7CC6BFC6B626}"/>
    <cellStyle name="Millares 2 2 2 8 3" xfId="7698" xr:uid="{1D879BCE-B055-404F-A582-CBEBCC9E588A}"/>
    <cellStyle name="Millares 2 2 2 8 3 2" xfId="15227" xr:uid="{D7AB3415-FB35-41E1-86E7-E43DE863CABF}"/>
    <cellStyle name="Millares 2 2 2 8 4" xfId="10872" xr:uid="{B44B5963-481F-4F5A-B451-497107FFC7B9}"/>
    <cellStyle name="Millares 2 2 2 9" xfId="3418" xr:uid="{EAE99C0C-24A9-4FD5-8A2B-F9E8CE733BBA}"/>
    <cellStyle name="Millares 2 2 2 9 2" xfId="6420" xr:uid="{5E83DC33-8954-4CD7-8E3B-FF5B454021BE}"/>
    <cellStyle name="Millares 2 2 2 9 2 2" xfId="13981" xr:uid="{4C3DEEE0-9014-4CE8-9377-69C472078C29}"/>
    <cellStyle name="Millares 2 2 2 9 3" xfId="7824" xr:uid="{CCCC1B13-9556-4AAA-839C-C4992598B646}"/>
    <cellStyle name="Millares 2 2 2 9 3 2" xfId="15353" xr:uid="{30208290-0BA8-43A0-85E2-8A64717E4E86}"/>
    <cellStyle name="Millares 2 2 2 9 4" xfId="10998" xr:uid="{D7345400-86AB-4215-828A-29C9FF3ED864}"/>
    <cellStyle name="Millares 2 2 3" xfId="2491" xr:uid="{8C79FA14-0D7C-4E16-97CD-1EAD6542239D}"/>
    <cellStyle name="Millares 2 2 3 2" xfId="6633" xr:uid="{79007C6D-1A9E-4203-A2CE-C067D90E671D}"/>
    <cellStyle name="Millares 2 2 3 2 2" xfId="8019" xr:uid="{ECBAEA3D-1D70-4D3F-A110-D67068A199F9}"/>
    <cellStyle name="Millares 2 2 3 2 2 2" xfId="15548" xr:uid="{CEEE9093-9EC8-40AF-A728-B035D6C8CA25}"/>
    <cellStyle name="Millares 2 2 3 2 3" xfId="14176" xr:uid="{69D7F5A1-F598-4B9F-B7BD-23F52C7A2892}"/>
    <cellStyle name="Millares 2 2 3 3" xfId="5497" xr:uid="{F02BF6F1-4B2C-45CE-95A4-F9EF8F6C458A}"/>
    <cellStyle name="Millares 2 2 3 3 2" xfId="13058" xr:uid="{23D7F4F4-B133-4A03-A01A-6FC22550637E}"/>
    <cellStyle name="Millares 2 2 3 4" xfId="6901" xr:uid="{F994B292-CC92-4565-9CC6-B833B6E94ABD}"/>
    <cellStyle name="Millares 2 2 3 4 2" xfId="14430" xr:uid="{B6EF2DDB-9CDF-4E01-AE48-629F0B55E294}"/>
    <cellStyle name="Millares 2 2 3 5" xfId="10075" xr:uid="{93F8C499-64DB-46B9-800F-4E1A9DF9827E}"/>
    <cellStyle name="Millares 2 2 4" xfId="2612" xr:uid="{E9305FE2-BB12-4A3E-857D-3C5A09AF96AD}"/>
    <cellStyle name="Millares 2 2 4 2" xfId="5617" xr:uid="{097CB72C-0F1C-49A7-BFB9-3E736375B913}"/>
    <cellStyle name="Millares 2 2 4 2 2" xfId="13178" xr:uid="{7A9F14E5-C101-4258-90A1-70B45A2813FD}"/>
    <cellStyle name="Millares 2 2 4 3" xfId="7021" xr:uid="{F5959F28-12CD-4127-A4DC-9B11ED8AAFED}"/>
    <cellStyle name="Millares 2 2 4 3 2" xfId="14550" xr:uid="{33E96A01-6CF2-46CA-AB61-10300E52AC4E}"/>
    <cellStyle name="Millares 2 2 4 4" xfId="10195" xr:uid="{26162CC1-0B25-477D-BC45-A7E3CD4621CE}"/>
    <cellStyle name="Millares 2 2 5" xfId="2734" xr:uid="{A49E6A1C-9354-4D3D-8E0D-9D2D8F6F5120}"/>
    <cellStyle name="Millares 2 2 5 2" xfId="5739" xr:uid="{BA49B80F-B522-4039-9E9E-5A71CF0082A8}"/>
    <cellStyle name="Millares 2 2 5 2 2" xfId="13300" xr:uid="{E1B0F7A8-4009-40B4-A048-F048C77E1852}"/>
    <cellStyle name="Millares 2 2 5 3" xfId="7143" xr:uid="{A39D122A-9F13-4ACD-86E8-EC43A053EDB2}"/>
    <cellStyle name="Millares 2 2 5 3 2" xfId="14672" xr:uid="{A1061E4D-6BE1-4E0D-A32D-30E3EE2D01CF}"/>
    <cellStyle name="Millares 2 2 5 4" xfId="10317" xr:uid="{C2E3053A-E701-4A40-9FA9-F6558F4AC464}"/>
    <cellStyle name="Millares 2 2 6" xfId="2859" xr:uid="{938140D4-DBA3-4A38-90AC-CDAE1A1FF8E8}"/>
    <cellStyle name="Millares 2 2 6 2" xfId="5863" xr:uid="{5451928A-4198-4169-9F0F-1BEC6B90EC16}"/>
    <cellStyle name="Millares 2 2 6 2 2" xfId="13424" xr:uid="{6C47B03F-214D-4089-9A93-202F07DCA72A}"/>
    <cellStyle name="Millares 2 2 6 3" xfId="7267" xr:uid="{3EC687B0-687D-48DB-BEB2-32CC4CF2F3D8}"/>
    <cellStyle name="Millares 2 2 6 3 2" xfId="14796" xr:uid="{293FEC43-9ACD-49C1-BB25-21B1885A2F12}"/>
    <cellStyle name="Millares 2 2 6 4" xfId="10441" xr:uid="{9960FC01-4C0D-41CB-9CE3-67C058D6A620}"/>
    <cellStyle name="Millares 2 2 7" xfId="2983" xr:uid="{11631C65-BC9E-4394-A39A-60D3D22635C7}"/>
    <cellStyle name="Millares 2 2 7 2" xfId="5987" xr:uid="{5946CE98-FF08-4244-AEC9-F42B4366FE71}"/>
    <cellStyle name="Millares 2 2 7 2 2" xfId="13548" xr:uid="{DC02B3FD-C466-49EE-8779-DC4A2D9F84C0}"/>
    <cellStyle name="Millares 2 2 7 3" xfId="7391" xr:uid="{9978E6DC-BBC4-4F96-81B2-8EFDD7C3E00D}"/>
    <cellStyle name="Millares 2 2 7 3 2" xfId="14920" xr:uid="{A59F5192-9C47-4732-B615-7245688AF523}"/>
    <cellStyle name="Millares 2 2 7 4" xfId="10565" xr:uid="{00AB3351-D3A1-4A17-A034-4E67851AB0B0}"/>
    <cellStyle name="Millares 2 2 8" xfId="3107" xr:uid="{6890A14D-33CF-4082-B308-1EAE748834C7}"/>
    <cellStyle name="Millares 2 2 8 2" xfId="6111" xr:uid="{1A386DC7-AF0F-4AC7-ACCB-DE88177D2ED2}"/>
    <cellStyle name="Millares 2 2 8 2 2" xfId="13672" xr:uid="{FEB11B4C-2338-4BB5-B69C-F02308341B78}"/>
    <cellStyle name="Millares 2 2 8 3" xfId="7515" xr:uid="{9E636338-4672-4DF2-AD0E-5F687C2F3AA6}"/>
    <cellStyle name="Millares 2 2 8 3 2" xfId="15044" xr:uid="{1B4470FA-03D2-4108-B1A4-60A01CDB6FDE}"/>
    <cellStyle name="Millares 2 2 8 4" xfId="10689" xr:uid="{91862B9A-66B8-4CD0-9CF7-BB3CF4139190}"/>
    <cellStyle name="Millares 2 2 9" xfId="3232" xr:uid="{A13424F9-5013-4296-9B85-CD48B8A81458}"/>
    <cellStyle name="Millares 2 2 9 2" xfId="6236" xr:uid="{31642E3F-34D8-4C0B-B66C-19924E2D84BC}"/>
    <cellStyle name="Millares 2 2 9 2 2" xfId="13797" xr:uid="{915563B1-B4E7-442C-80D3-66034A1771B7}"/>
    <cellStyle name="Millares 2 2 9 3" xfId="7640" xr:uid="{4C1992EF-5556-4DC8-9DAD-27B0A34E8005}"/>
    <cellStyle name="Millares 2 2 9 3 2" xfId="15169" xr:uid="{AB1E1207-8B4C-41E1-90AE-7166F664A852}"/>
    <cellStyle name="Millares 2 2 9 4" xfId="10814" xr:uid="{DA2212EA-5DEC-4696-8AA9-112939521350}"/>
    <cellStyle name="Millares 2 20" xfId="161" xr:uid="{D3FF44E2-28C6-48F1-85A6-CB9AE87A29BD}"/>
    <cellStyle name="Millares 2 3" xfId="195" xr:uid="{0A236E2D-D206-49A9-AB31-D68C716233A7}"/>
    <cellStyle name="Millares 2 3 10" xfId="3350" xr:uid="{74CAF07F-03C6-4A2E-B28C-84AE7100DDE9}"/>
    <cellStyle name="Millares 2 3 10 2" xfId="6352" xr:uid="{3851F97D-5E7D-4663-AC06-CD1879699F49}"/>
    <cellStyle name="Millares 2 3 10 2 2" xfId="13913" xr:uid="{25CA9119-1BE4-4D6F-999E-A108DE02892E}"/>
    <cellStyle name="Millares 2 3 10 3" xfId="7756" xr:uid="{E932C5A5-1120-4771-8B49-E66A5B0507D9}"/>
    <cellStyle name="Millares 2 3 10 3 2" xfId="15285" xr:uid="{4BBBE455-316C-498D-B7EB-4F8448BA3031}"/>
    <cellStyle name="Millares 2 3 10 4" xfId="10930" xr:uid="{8CD38A38-589D-474B-BEDA-0A7F51A2E5D7}"/>
    <cellStyle name="Millares 2 3 11" xfId="2351" xr:uid="{973A9660-3B9F-465E-93D8-3853799F4992}"/>
    <cellStyle name="Millares 2 3 11 2" xfId="6488" xr:uid="{848E83AE-C953-4C94-A20C-59F4DA3F73E7}"/>
    <cellStyle name="Millares 2 3 11 2 2" xfId="14044" xr:uid="{EE140364-C9D6-420C-A5FA-985733CE0159}"/>
    <cellStyle name="Millares 2 3 11 3" xfId="7887" xr:uid="{307CB56A-192D-4486-87B9-4E388F16680A}"/>
    <cellStyle name="Millares 2 3 11 3 2" xfId="15416" xr:uid="{7D2D6784-1AC5-45DB-BD77-55149A908615}"/>
    <cellStyle name="Millares 2 3 11 4" xfId="9945" xr:uid="{0591C1F7-80C7-4F31-80A2-C35E22FB0AD1}"/>
    <cellStyle name="Millares 2 3 12" xfId="3495" xr:uid="{FF039617-151A-496A-9A64-9EA0E130C84C}"/>
    <cellStyle name="Millares 2 3 12 2" xfId="11063" xr:uid="{549E8C82-9C89-49F3-BD59-E950A8D95A55}"/>
    <cellStyle name="Millares 2 3 13" xfId="5367" xr:uid="{61BFCF62-F09E-4E49-A5DF-80E5594BC002}"/>
    <cellStyle name="Millares 2 3 13 2" xfId="12928" xr:uid="{C0ADC3E1-0F1B-4E66-A6EC-4A97E0CCBCE5}"/>
    <cellStyle name="Millares 2 3 14" xfId="6771" xr:uid="{C4D81EF5-6355-490C-AB41-5F66F6B8D84B}"/>
    <cellStyle name="Millares 2 3 14 2" xfId="14300" xr:uid="{178BF508-031A-48AF-8B9B-1700C87DF694}"/>
    <cellStyle name="Millares 2 3 15" xfId="8143" xr:uid="{591CB198-A016-4FF7-A857-A5E3DEAFDF03}"/>
    <cellStyle name="Millares 2 3 2" xfId="2415" xr:uid="{2481A5C3-3A9D-4A58-91D9-58C289B49777}"/>
    <cellStyle name="Millares 2 3 2 10" xfId="6546" xr:uid="{6E9CC0D3-7157-4A4A-8D8A-112EDEC1F44A}"/>
    <cellStyle name="Millares 2 3 2 10 2" xfId="7945" xr:uid="{94A32BFA-7826-4662-B246-0D83B0687D17}"/>
    <cellStyle name="Millares 2 3 2 10 2 2" xfId="15474" xr:uid="{23A800DF-36DB-4309-9F50-6B8CCEC5A15A}"/>
    <cellStyle name="Millares 2 3 2 10 3" xfId="14102" xr:uid="{CD233AC3-81B8-4CA6-AC88-B4E11222E6E9}"/>
    <cellStyle name="Millares 2 3 2 11" xfId="5425" xr:uid="{A6CE8901-3EA3-416D-A40D-8F7B856B3A10}"/>
    <cellStyle name="Millares 2 3 2 11 2" xfId="12986" xr:uid="{AB507583-D814-4430-A642-19B660DBF06F}"/>
    <cellStyle name="Millares 2 3 2 12" xfId="6829" xr:uid="{BDB1AFB1-3FB2-40A0-9ECD-A6913A711974}"/>
    <cellStyle name="Millares 2 3 2 12 2" xfId="14358" xr:uid="{D1E3A6D5-87F2-4C36-BAE6-978D95828689}"/>
    <cellStyle name="Millares 2 3 2 13" xfId="10003" xr:uid="{2F480B2A-023E-42A4-BCDF-2500FCF06FB2}"/>
    <cellStyle name="Millares 2 3 2 2" xfId="2539" xr:uid="{0433C584-687F-4DAC-B018-78724AF9D8B4}"/>
    <cellStyle name="Millares 2 3 2 2 2" xfId="6681" xr:uid="{EB6BE3FB-0D88-40AE-BB52-57FE8F832B04}"/>
    <cellStyle name="Millares 2 3 2 2 2 2" xfId="8067" xr:uid="{2A958817-9F45-4CB5-9E54-D5FD817C1A46}"/>
    <cellStyle name="Millares 2 3 2 2 2 2 2" xfId="15596" xr:uid="{A3CB1204-3BF3-449F-8982-72AEC54CB7E1}"/>
    <cellStyle name="Millares 2 3 2 2 2 3" xfId="14224" xr:uid="{A30BA9D2-454F-4325-90B9-188C23B92D40}"/>
    <cellStyle name="Millares 2 3 2 2 3" xfId="5545" xr:uid="{A83CA7EE-A2D2-4883-97D5-81662E18A126}"/>
    <cellStyle name="Millares 2 3 2 2 3 2" xfId="13106" xr:uid="{F7854975-C309-4989-8DC4-E5863F30900E}"/>
    <cellStyle name="Millares 2 3 2 2 4" xfId="6949" xr:uid="{A05A618E-75C4-445B-928D-C269AC4A6742}"/>
    <cellStyle name="Millares 2 3 2 2 4 2" xfId="14478" xr:uid="{5727FB91-5F29-4D97-9486-B48E05442826}"/>
    <cellStyle name="Millares 2 3 2 2 5" xfId="10123" xr:uid="{CE14BC4E-5E95-4476-8134-0E17D3BDBF50}"/>
    <cellStyle name="Millares 2 3 2 3" xfId="2660" xr:uid="{DD20BE6C-28FF-4239-830D-0AC5B5A1389A}"/>
    <cellStyle name="Millares 2 3 2 3 2" xfId="5665" xr:uid="{797011AA-1A61-41BF-91F4-39EDD714FC40}"/>
    <cellStyle name="Millares 2 3 2 3 2 2" xfId="13226" xr:uid="{5055DD7D-6222-48A1-80DA-2B113B4B4424}"/>
    <cellStyle name="Millares 2 3 2 3 3" xfId="7069" xr:uid="{590F9E11-7E5C-4E91-BC6D-8DEA81E0D538}"/>
    <cellStyle name="Millares 2 3 2 3 3 2" xfId="14598" xr:uid="{EBE48859-578C-4196-92F9-A5748E5398C8}"/>
    <cellStyle name="Millares 2 3 2 3 4" xfId="10243" xr:uid="{7A243A1B-45A2-43A1-937C-184EAA76FF96}"/>
    <cellStyle name="Millares 2 3 2 4" xfId="2782" xr:uid="{71ADB9C7-9C3A-472E-AF6D-B866C8B866B3}"/>
    <cellStyle name="Millares 2 3 2 4 2" xfId="5787" xr:uid="{FFDC1B57-58C2-4B95-9B4B-AF7C3CF1B6DE}"/>
    <cellStyle name="Millares 2 3 2 4 2 2" xfId="13348" xr:uid="{33527293-0D89-4388-ABDF-CEA864906381}"/>
    <cellStyle name="Millares 2 3 2 4 3" xfId="7191" xr:uid="{10BD315B-9D4F-4971-B8F6-8750216756B2}"/>
    <cellStyle name="Millares 2 3 2 4 3 2" xfId="14720" xr:uid="{3EAD5A43-413F-4E7A-8BC7-0A1439F2BC3F}"/>
    <cellStyle name="Millares 2 3 2 4 4" xfId="10365" xr:uid="{C9589255-2A38-403A-97E7-8FA83BD45266}"/>
    <cellStyle name="Millares 2 3 2 5" xfId="2907" xr:uid="{AB548428-1DFB-4FE8-A7F4-E5F360BF670D}"/>
    <cellStyle name="Millares 2 3 2 5 2" xfId="5911" xr:uid="{09654FF0-E060-49F7-9515-01A557B8790A}"/>
    <cellStyle name="Millares 2 3 2 5 2 2" xfId="13472" xr:uid="{3DF80746-691F-4C42-B502-3C16DCD05145}"/>
    <cellStyle name="Millares 2 3 2 5 3" xfId="7315" xr:uid="{BA792D8A-7059-4285-B618-EEBE0E40CCCD}"/>
    <cellStyle name="Millares 2 3 2 5 3 2" xfId="14844" xr:uid="{0CA2EC06-4504-461C-B75B-A1664B43BEDF}"/>
    <cellStyle name="Millares 2 3 2 5 4" xfId="10489" xr:uid="{57194784-459C-423C-856F-4DB3D8ED256E}"/>
    <cellStyle name="Millares 2 3 2 6" xfId="3031" xr:uid="{F98BCB9D-1617-46EE-9240-8DA95420501D}"/>
    <cellStyle name="Millares 2 3 2 6 2" xfId="6035" xr:uid="{42DFD513-0F76-4FB9-9121-54A66A7A2886}"/>
    <cellStyle name="Millares 2 3 2 6 2 2" xfId="13596" xr:uid="{52CB8A96-3DBC-4696-A00E-78DBC7C26A36}"/>
    <cellStyle name="Millares 2 3 2 6 3" xfId="7439" xr:uid="{BF8D79A4-8C8E-4A76-AF1E-0EE14A5C79C9}"/>
    <cellStyle name="Millares 2 3 2 6 3 2" xfId="14968" xr:uid="{578CA472-7888-4FDC-B615-D77080FAECCA}"/>
    <cellStyle name="Millares 2 3 2 6 4" xfId="10613" xr:uid="{AA9BA41A-5F6C-4666-8516-0612252E37A3}"/>
    <cellStyle name="Millares 2 3 2 7" xfId="3155" xr:uid="{95D7E0B0-2C14-4164-B8B0-A5AA93223D33}"/>
    <cellStyle name="Millares 2 3 2 7 2" xfId="6159" xr:uid="{63EF0188-08AE-4DF6-8AD7-CA6079A4AABD}"/>
    <cellStyle name="Millares 2 3 2 7 2 2" xfId="13720" xr:uid="{B0F36684-BA63-4B9C-8A13-AB2F9E572470}"/>
    <cellStyle name="Millares 2 3 2 7 3" xfId="7563" xr:uid="{E37DACED-0552-4F7F-8C8A-EF993D5A84BA}"/>
    <cellStyle name="Millares 2 3 2 7 3 2" xfId="15092" xr:uid="{8A207804-12BB-44D2-80F2-9D208ED0C2D8}"/>
    <cellStyle name="Millares 2 3 2 7 4" xfId="10737" xr:uid="{ADC2BB13-FAAF-4B45-B5EE-06227DC59764}"/>
    <cellStyle name="Millares 2 3 2 8" xfId="3280" xr:uid="{117DEC8A-2573-4822-96A4-ABF5B2B718BE}"/>
    <cellStyle name="Millares 2 3 2 8 2" xfId="6284" xr:uid="{CC10392E-37A4-4E21-B025-DBBAD61011B6}"/>
    <cellStyle name="Millares 2 3 2 8 2 2" xfId="13845" xr:uid="{859886E6-2D1B-4F47-8A31-6B19DD8EFF25}"/>
    <cellStyle name="Millares 2 3 2 8 3" xfId="7688" xr:uid="{D670ED4B-FC74-4A8E-83A8-EC1D6ECF3A9A}"/>
    <cellStyle name="Millares 2 3 2 8 3 2" xfId="15217" xr:uid="{036D5795-8B86-46FB-B5DA-908AF231C343}"/>
    <cellStyle name="Millares 2 3 2 8 4" xfId="10862" xr:uid="{55EFD112-89D5-44D2-A59F-A4BAB0DD4FEE}"/>
    <cellStyle name="Millares 2 3 2 9" xfId="3408" xr:uid="{7FE75846-67E9-4A49-8066-0992916F849E}"/>
    <cellStyle name="Millares 2 3 2 9 2" xfId="6410" xr:uid="{D9DCD9DA-477E-4218-B024-C7EEB952A66B}"/>
    <cellStyle name="Millares 2 3 2 9 2 2" xfId="13971" xr:uid="{C59D7E3D-5033-4A2B-8B84-31F3E5ED4090}"/>
    <cellStyle name="Millares 2 3 2 9 3" xfId="7814" xr:uid="{4BC638C8-D71E-43DE-B133-8361DA7581A7}"/>
    <cellStyle name="Millares 2 3 2 9 3 2" xfId="15343" xr:uid="{6AD29555-BF99-4BFE-912E-6510478F0885}"/>
    <cellStyle name="Millares 2 3 2 9 4" xfId="10988" xr:uid="{550248D8-65A3-4488-81BF-790681B9CC3C}"/>
    <cellStyle name="Millares 2 3 3" xfId="2481" xr:uid="{0F175EF6-8494-484C-ABE7-9B9710D25211}"/>
    <cellStyle name="Millares 2 3 3 2" xfId="6623" xr:uid="{03340A95-A7A3-464A-842A-E86E8F3B9374}"/>
    <cellStyle name="Millares 2 3 3 2 2" xfId="8009" xr:uid="{D1EE8FD6-90D1-4AA1-A9C3-4506448BC8D7}"/>
    <cellStyle name="Millares 2 3 3 2 2 2" xfId="15538" xr:uid="{0D6B1565-541F-4B4B-ADD9-7578E8C1C1A1}"/>
    <cellStyle name="Millares 2 3 3 2 3" xfId="14166" xr:uid="{CAB080F1-C920-46E7-9E5A-67B4A107B751}"/>
    <cellStyle name="Millares 2 3 3 3" xfId="5487" xr:uid="{4E30BF18-7CE0-45AE-9D1C-D1FA79614BDC}"/>
    <cellStyle name="Millares 2 3 3 3 2" xfId="13048" xr:uid="{918CD8A4-AEC6-47DF-BD1A-B89A652FCF04}"/>
    <cellStyle name="Millares 2 3 3 4" xfId="6891" xr:uid="{B3CA7AF4-AEE6-470C-B013-77738A2788A6}"/>
    <cellStyle name="Millares 2 3 3 4 2" xfId="14420" xr:uid="{836864F8-7315-4FEA-9419-046ACD523E58}"/>
    <cellStyle name="Millares 2 3 3 5" xfId="10065" xr:uid="{C5F4244E-0E5E-41E6-93BE-8006E7D07C92}"/>
    <cellStyle name="Millares 2 3 4" xfId="2602" xr:uid="{781FF6B1-8B4D-411F-AA8A-2E9836C232EB}"/>
    <cellStyle name="Millares 2 3 4 2" xfId="5607" xr:uid="{5CE0FAD4-7B8A-4A10-9620-48783DD63C44}"/>
    <cellStyle name="Millares 2 3 4 2 2" xfId="13168" xr:uid="{96B6FA18-9506-4D06-BA9A-60B5FF6F98CB}"/>
    <cellStyle name="Millares 2 3 4 3" xfId="7011" xr:uid="{B2C582C8-DC20-4207-85ED-6967D15837A0}"/>
    <cellStyle name="Millares 2 3 4 3 2" xfId="14540" xr:uid="{68823237-397D-49D5-8C87-860131E1512A}"/>
    <cellStyle name="Millares 2 3 4 4" xfId="10185" xr:uid="{12CEC878-1C8A-49DE-AE26-2B6B437CF2EC}"/>
    <cellStyle name="Millares 2 3 5" xfId="2724" xr:uid="{63375902-5179-4A00-8E5E-CD30A9970AB5}"/>
    <cellStyle name="Millares 2 3 5 2" xfId="5729" xr:uid="{7B3E7D6B-2ABB-4061-ACDC-C9D456A8843C}"/>
    <cellStyle name="Millares 2 3 5 2 2" xfId="13290" xr:uid="{2F4EBFFD-24BA-43F4-8828-386B780DD103}"/>
    <cellStyle name="Millares 2 3 5 3" xfId="7133" xr:uid="{0F30F797-B09E-40EE-B3BC-74D0F7136237}"/>
    <cellStyle name="Millares 2 3 5 3 2" xfId="14662" xr:uid="{FDB26359-CB08-44EC-8316-C89D2A01A34C}"/>
    <cellStyle name="Millares 2 3 5 4" xfId="10307" xr:uid="{40D2859A-82BF-474B-B97B-8CCE4D46147E}"/>
    <cellStyle name="Millares 2 3 6" xfId="2849" xr:uid="{7D744931-6A32-4CB2-B95A-2DA1B07CA97F}"/>
    <cellStyle name="Millares 2 3 6 2" xfId="5853" xr:uid="{D1333823-956A-40D1-801C-75FF058B70D0}"/>
    <cellStyle name="Millares 2 3 6 2 2" xfId="13414" xr:uid="{BBBDF368-4F33-42E7-9833-E2B4267EE92B}"/>
    <cellStyle name="Millares 2 3 6 3" xfId="7257" xr:uid="{9B6B0605-5A00-4C69-A255-83B083DB5689}"/>
    <cellStyle name="Millares 2 3 6 3 2" xfId="14786" xr:uid="{57BA0BA3-EAFD-4202-904F-782128F2B105}"/>
    <cellStyle name="Millares 2 3 6 4" xfId="10431" xr:uid="{30054BB8-6C05-4646-B0EA-48548668014E}"/>
    <cellStyle name="Millares 2 3 7" xfId="2973" xr:uid="{A800363A-1CE7-43E6-8615-49473C050799}"/>
    <cellStyle name="Millares 2 3 7 2" xfId="5977" xr:uid="{C0FABEF8-8BFD-45BF-B6FE-9324EA4745D4}"/>
    <cellStyle name="Millares 2 3 7 2 2" xfId="13538" xr:uid="{6160FA0A-1B9E-4066-AEAB-1DA36247003F}"/>
    <cellStyle name="Millares 2 3 7 3" xfId="7381" xr:uid="{ACC06FB4-1327-48CF-9086-17CC4092914F}"/>
    <cellStyle name="Millares 2 3 7 3 2" xfId="14910" xr:uid="{04D52AF3-6C4D-4386-8913-F5DB8605F6E7}"/>
    <cellStyle name="Millares 2 3 7 4" xfId="10555" xr:uid="{5FF33E02-1909-48F4-A89B-49AC7E515EB1}"/>
    <cellStyle name="Millares 2 3 8" xfId="3097" xr:uid="{C3DF2C1B-5412-42F0-ABB3-882092FBAA70}"/>
    <cellStyle name="Millares 2 3 8 2" xfId="6101" xr:uid="{5A5C7BB8-746A-41B8-A35F-BD6007BD54AD}"/>
    <cellStyle name="Millares 2 3 8 2 2" xfId="13662" xr:uid="{24DCB6CE-BFED-480F-A474-B3E2306B57E8}"/>
    <cellStyle name="Millares 2 3 8 3" xfId="7505" xr:uid="{E21688DC-3BF6-4A00-9CB5-22F39224FC29}"/>
    <cellStyle name="Millares 2 3 8 3 2" xfId="15034" xr:uid="{18C3D533-03F9-4B75-A7E8-336F526E631C}"/>
    <cellStyle name="Millares 2 3 8 4" xfId="10679" xr:uid="{E4ED785F-528E-4507-A5EA-78C738EE7EA9}"/>
    <cellStyle name="Millares 2 3 9" xfId="3222" xr:uid="{8DAA3DC8-6CB0-4E92-A907-813E28036616}"/>
    <cellStyle name="Millares 2 3 9 2" xfId="6226" xr:uid="{DBC7A895-DE1F-4978-80A0-24C1EA93D4FF}"/>
    <cellStyle name="Millares 2 3 9 2 2" xfId="13787" xr:uid="{0F4D1151-C6AD-460C-B7F7-22A597489AB9}"/>
    <cellStyle name="Millares 2 3 9 3" xfId="7630" xr:uid="{FC8529E4-4518-466B-84B9-1BDF49F9F5D0}"/>
    <cellStyle name="Millares 2 3 9 3 2" xfId="15159" xr:uid="{7D753FEE-3FCF-4D89-B489-4977EF0E26DC}"/>
    <cellStyle name="Millares 2 3 9 4" xfId="10804" xr:uid="{95AA8503-87A5-470D-A17D-F1C3CBC02FDF}"/>
    <cellStyle name="Millares 2 4" xfId="1060" xr:uid="{40F5B879-472B-4D77-9C91-C41957ABA0E8}"/>
    <cellStyle name="Millares 2 4 10" xfId="2386" xr:uid="{A4B5B6B0-441F-4435-9953-63C60837BEA3}"/>
    <cellStyle name="Millares 2 4 10 2" xfId="6517" xr:uid="{20009C83-E732-4C64-9EC3-6FAD7364CFC2}"/>
    <cellStyle name="Millares 2 4 10 2 2" xfId="14073" xr:uid="{9691AF17-153B-4B0E-A8D6-1A07E98F9205}"/>
    <cellStyle name="Millares 2 4 10 3" xfId="7916" xr:uid="{A4381576-0AAA-4235-B24A-077B2F1F5918}"/>
    <cellStyle name="Millares 2 4 10 3 2" xfId="15445" xr:uid="{80AD2123-53A1-45E6-AC61-92AC41100295}"/>
    <cellStyle name="Millares 2 4 10 4" xfId="9974" xr:uid="{AFDC9D17-4979-489A-AF15-BBB22B7E6159}"/>
    <cellStyle name="Millares 2 4 11" xfId="4020" xr:uid="{69C55F41-337F-4E85-824E-CB43F198B943}"/>
    <cellStyle name="Millares 2 4 11 2" xfId="11588" xr:uid="{7215AB24-6CDB-46AD-B4CD-A2EA97EFD01B}"/>
    <cellStyle name="Millares 2 4 12" xfId="5396" xr:uid="{C7A0C487-0623-45DB-AFB1-5214F71572A5}"/>
    <cellStyle name="Millares 2 4 12 2" xfId="12957" xr:uid="{EBEFCD2C-13EF-4974-82AE-44B208BE21B6}"/>
    <cellStyle name="Millares 2 4 13" xfId="6800" xr:uid="{30B4A4D4-4A3F-4527-9B10-AC39E0B6B0F5}"/>
    <cellStyle name="Millares 2 4 13 2" xfId="14329" xr:uid="{832F6A24-A98F-4402-9F61-D053EC9A3D5F}"/>
    <cellStyle name="Millares 2 4 14" xfId="8668" xr:uid="{D11A86E3-B780-4312-94E4-BCE07CBEEB39}"/>
    <cellStyle name="Millares 2 4 2" xfId="2510" xr:uid="{D621C227-4A07-4592-8090-A40945633A5A}"/>
    <cellStyle name="Millares 2 4 2 2" xfId="6652" xr:uid="{061621F1-809A-4895-9D78-710599F95CB3}"/>
    <cellStyle name="Millares 2 4 2 2 2" xfId="8038" xr:uid="{1DCC8A3C-8269-4A6D-B27E-B512C2555D64}"/>
    <cellStyle name="Millares 2 4 2 2 2 2" xfId="15567" xr:uid="{C0BA5156-2456-495F-8F43-D71662E8132E}"/>
    <cellStyle name="Millares 2 4 2 2 3" xfId="14195" xr:uid="{B40BF31D-3D7D-4427-A00C-01A1E5EB7005}"/>
    <cellStyle name="Millares 2 4 2 3" xfId="5516" xr:uid="{662B48F2-4374-49B3-A815-5DB5166AAFBB}"/>
    <cellStyle name="Millares 2 4 2 3 2" xfId="13077" xr:uid="{469D08BB-0893-4C84-87E8-3CB4A9F6D2C1}"/>
    <cellStyle name="Millares 2 4 2 4" xfId="6920" xr:uid="{61CC9EC0-C661-46FF-B4E9-D4881D7CF94E}"/>
    <cellStyle name="Millares 2 4 2 4 2" xfId="14449" xr:uid="{71895F3D-CB8B-443C-A3B1-4EC6818D0574}"/>
    <cellStyle name="Millares 2 4 2 5" xfId="10094" xr:uid="{F87DCFD2-5351-4747-BDD4-61D184C03269}"/>
    <cellStyle name="Millares 2 4 3" xfId="2631" xr:uid="{CFD37AC0-68EE-486F-BE3D-2AA1B8BC554A}"/>
    <cellStyle name="Millares 2 4 3 2" xfId="5636" xr:uid="{96D9BC84-1087-4DE9-8C5E-C3D50B6E0123}"/>
    <cellStyle name="Millares 2 4 3 2 2" xfId="13197" xr:uid="{EF81C9D6-A398-48B0-A45D-9B8CEA226275}"/>
    <cellStyle name="Millares 2 4 3 3" xfId="7040" xr:uid="{8E5F7150-0776-415B-A63B-E2D55BCA0CA0}"/>
    <cellStyle name="Millares 2 4 3 3 2" xfId="14569" xr:uid="{7FDD8FDD-B0FA-4E09-BBED-0906E8EAAA09}"/>
    <cellStyle name="Millares 2 4 3 4" xfId="10214" xr:uid="{B322A74C-86B6-4BC3-8EDF-0E9B7A011333}"/>
    <cellStyle name="Millares 2 4 4" xfId="2753" xr:uid="{DE453A0A-EFB6-4BEC-9361-C0D97FAEB43B}"/>
    <cellStyle name="Millares 2 4 4 2" xfId="5758" xr:uid="{6201CF8A-52F4-467B-90C9-CE2CC1B6F6CA}"/>
    <cellStyle name="Millares 2 4 4 2 2" xfId="13319" xr:uid="{D78E2293-EF6A-42FA-BCF7-7CDBD78883C4}"/>
    <cellStyle name="Millares 2 4 4 3" xfId="7162" xr:uid="{C9B6210D-1D1B-4842-AFF3-53603B8EC080}"/>
    <cellStyle name="Millares 2 4 4 3 2" xfId="14691" xr:uid="{36C022DB-1446-464F-8094-D84AFFFA51B3}"/>
    <cellStyle name="Millares 2 4 4 4" xfId="10336" xr:uid="{8EA7DCF9-A076-448E-A541-C8D36567C7E1}"/>
    <cellStyle name="Millares 2 4 5" xfId="2878" xr:uid="{ADDB9321-CD6D-403E-A084-85C7ACE27C86}"/>
    <cellStyle name="Millares 2 4 5 2" xfId="5882" xr:uid="{79E5E0A0-9451-4D98-ABBD-B36483CA6935}"/>
    <cellStyle name="Millares 2 4 5 2 2" xfId="13443" xr:uid="{65DB07A4-CAF8-4B77-98A4-85967EDF45BA}"/>
    <cellStyle name="Millares 2 4 5 3" xfId="7286" xr:uid="{2ED17CB0-93D2-46FC-AB11-FBCBE6E4C54A}"/>
    <cellStyle name="Millares 2 4 5 3 2" xfId="14815" xr:uid="{5C98E225-131A-4BFE-93D6-86C742142004}"/>
    <cellStyle name="Millares 2 4 5 4" xfId="10460" xr:uid="{52602E7F-6F5A-42DD-88FA-98EC8092BCCB}"/>
    <cellStyle name="Millares 2 4 6" xfId="3002" xr:uid="{053C9D67-24A3-44D7-B4EA-192CE230EF76}"/>
    <cellStyle name="Millares 2 4 6 2" xfId="6006" xr:uid="{611571E2-558B-49FE-BE65-388E45828131}"/>
    <cellStyle name="Millares 2 4 6 2 2" xfId="13567" xr:uid="{A2EE7244-7980-45F2-986F-4597A47ABFF3}"/>
    <cellStyle name="Millares 2 4 6 3" xfId="7410" xr:uid="{10F89E13-F1A9-4A51-B627-05BE4F9AC7FB}"/>
    <cellStyle name="Millares 2 4 6 3 2" xfId="14939" xr:uid="{CCBE4C16-D57E-45F5-824A-A8A1864466B8}"/>
    <cellStyle name="Millares 2 4 6 4" xfId="10584" xr:uid="{161AB02E-488F-4C3E-A345-D3A7E5E491E3}"/>
    <cellStyle name="Millares 2 4 7" xfId="3126" xr:uid="{E0BE7DBE-A000-4686-B5E4-32CCE3D9C95E}"/>
    <cellStyle name="Millares 2 4 7 2" xfId="6130" xr:uid="{595251F8-2C33-4BC3-8736-92A324ACA150}"/>
    <cellStyle name="Millares 2 4 7 2 2" xfId="13691" xr:uid="{EF37AB90-14CA-4EFC-B134-E708D449E76E}"/>
    <cellStyle name="Millares 2 4 7 3" xfId="7534" xr:uid="{04C7E3E9-D610-41FD-95CD-5D2DF3110ADD}"/>
    <cellStyle name="Millares 2 4 7 3 2" xfId="15063" xr:uid="{E9CCBCEC-EB29-49FF-AF85-4719B60418E9}"/>
    <cellStyle name="Millares 2 4 7 4" xfId="10708" xr:uid="{59D2558B-011B-4205-A633-48072F5CF86D}"/>
    <cellStyle name="Millares 2 4 8" xfId="3251" xr:uid="{46D10008-B71B-4E1D-8A75-C295E50C2D14}"/>
    <cellStyle name="Millares 2 4 8 2" xfId="6255" xr:uid="{CA024E99-56A1-4E48-8B8C-93611510FEBB}"/>
    <cellStyle name="Millares 2 4 8 2 2" xfId="13816" xr:uid="{8E4AE61C-E4D2-4903-857E-BD3F3E2840DE}"/>
    <cellStyle name="Millares 2 4 8 3" xfId="7659" xr:uid="{309D95C6-1580-4125-B2A7-7979B82363CF}"/>
    <cellStyle name="Millares 2 4 8 3 2" xfId="15188" xr:uid="{AF77010D-8AE9-4C7D-9F78-DABB6841FFAD}"/>
    <cellStyle name="Millares 2 4 8 4" xfId="10833" xr:uid="{A80F5A6B-6BBA-49F1-9762-8F6F0D711741}"/>
    <cellStyle name="Millares 2 4 9" xfId="3379" xr:uid="{61EB7347-AE74-41C7-BE4D-48541F4D04D3}"/>
    <cellStyle name="Millares 2 4 9 2" xfId="6381" xr:uid="{7541919F-430F-49E6-A12D-7451FB912A8C}"/>
    <cellStyle name="Millares 2 4 9 2 2" xfId="13942" xr:uid="{E0DC0BAB-3037-4557-88F0-DD9C9CFF1913}"/>
    <cellStyle name="Millares 2 4 9 3" xfId="7785" xr:uid="{FFC08DA7-C432-4DE4-9015-0D1B437640FA}"/>
    <cellStyle name="Millares 2 4 9 3 2" xfId="15314" xr:uid="{3E666F94-5A06-47EA-8470-2C532EBB4406}"/>
    <cellStyle name="Millares 2 4 9 4" xfId="10959" xr:uid="{66A40F3B-975B-4313-9B6A-FFA95870D2AB}"/>
    <cellStyle name="Millares 2 5" xfId="1424" xr:uid="{5EE20108-58D6-417F-8D65-8AA80B0BF432}"/>
    <cellStyle name="Millares 2 5 10" xfId="4384" xr:uid="{3047B055-B9E2-437C-BF84-FDCC9DE8AEA4}"/>
    <cellStyle name="Millares 2 5 10 2" xfId="11952" xr:uid="{FD995A1E-A320-41B4-AD8B-82C222612FF6}"/>
    <cellStyle name="Millares 2 5 11" xfId="5451" xr:uid="{CC874EE6-6F08-48F3-B1CF-7812DF41DBC2}"/>
    <cellStyle name="Millares 2 5 11 2" xfId="13012" xr:uid="{74B53201-9764-44E9-8E7B-1182B38CC946}"/>
    <cellStyle name="Millares 2 5 12" xfId="6855" xr:uid="{536F8B08-2ED4-482A-89F1-4F4A588FC3DF}"/>
    <cellStyle name="Millares 2 5 12 2" xfId="14384" xr:uid="{F9DEED21-5195-4C83-AED1-B10B8202A703}"/>
    <cellStyle name="Millares 2 5 13" xfId="9032" xr:uid="{8D0C656F-6D61-41DD-8FD6-2EA61247CC33}"/>
    <cellStyle name="Millares 2 5 2" xfId="2686" xr:uid="{1BFD70BC-8B48-46C7-B841-A9E74BEFE69A}"/>
    <cellStyle name="Millares 2 5 2 2" xfId="6707" xr:uid="{07DA1C7C-4B6C-40CA-83E8-82912668857A}"/>
    <cellStyle name="Millares 2 5 2 2 2" xfId="8093" xr:uid="{4935A014-9056-4A8E-9BF9-0305D1367D10}"/>
    <cellStyle name="Millares 2 5 2 2 2 2" xfId="15622" xr:uid="{DF829BDD-E136-4BA1-98CA-50C300724650}"/>
    <cellStyle name="Millares 2 5 2 2 3" xfId="14250" xr:uid="{5E9E820E-6A6B-426B-B489-31002B71FDCB}"/>
    <cellStyle name="Millares 2 5 2 3" xfId="5691" xr:uid="{5218BB62-897D-4D5D-BF9A-8D97D9DD5F43}"/>
    <cellStyle name="Millares 2 5 2 3 2" xfId="13252" xr:uid="{ED0F6E29-D69E-4F3F-BAA0-BEEC935A64FD}"/>
    <cellStyle name="Millares 2 5 2 4" xfId="7095" xr:uid="{ED998E99-7052-4B60-875B-836FAF6C9645}"/>
    <cellStyle name="Millares 2 5 2 4 2" xfId="14624" xr:uid="{CA83A7CD-832D-4A69-A14C-345844B3FF32}"/>
    <cellStyle name="Millares 2 5 2 5" xfId="10269" xr:uid="{B43C54D2-EB12-4816-B245-DCAA0505AC7A}"/>
    <cellStyle name="Millares 2 5 3" xfId="2808" xr:uid="{03B524A4-3522-4365-9E24-FB1348EBDEE8}"/>
    <cellStyle name="Millares 2 5 3 2" xfId="5813" xr:uid="{48BF4533-D5E2-4EA9-A763-B4CF4630F30D}"/>
    <cellStyle name="Millares 2 5 3 2 2" xfId="13374" xr:uid="{900CF6EB-6118-48DA-ACA2-609FFF0CA320}"/>
    <cellStyle name="Millares 2 5 3 3" xfId="7217" xr:uid="{A05241F0-4DC4-416E-8BF2-17A694E1E98C}"/>
    <cellStyle name="Millares 2 5 3 3 2" xfId="14746" xr:uid="{A8CC8A83-55A2-4235-A8AB-0167E93D9801}"/>
    <cellStyle name="Millares 2 5 3 4" xfId="10391" xr:uid="{30217F82-EF47-48D4-ABC8-444CB2CCF0AC}"/>
    <cellStyle name="Millares 2 5 4" xfId="2933" xr:uid="{49060288-87CD-469A-BBC0-F737E830CF1A}"/>
    <cellStyle name="Millares 2 5 4 2" xfId="5937" xr:uid="{39435F62-31F5-40C3-9A13-9491A9FA6AFF}"/>
    <cellStyle name="Millares 2 5 4 2 2" xfId="13498" xr:uid="{43A03CC7-8A43-4F28-A80A-40F8A7E23D8D}"/>
    <cellStyle name="Millares 2 5 4 3" xfId="7341" xr:uid="{095DBDB7-947D-48F5-B341-B5C28ECE1B13}"/>
    <cellStyle name="Millares 2 5 4 3 2" xfId="14870" xr:uid="{90CC6F15-956C-4FE7-B62F-29B66CA12212}"/>
    <cellStyle name="Millares 2 5 4 4" xfId="10515" xr:uid="{9AFB560A-F98C-496B-83D3-2D5949D7298F}"/>
    <cellStyle name="Millares 2 5 5" xfId="3057" xr:uid="{DDA99336-FDC4-42BC-9318-EFB5FFFD590B}"/>
    <cellStyle name="Millares 2 5 5 2" xfId="6061" xr:uid="{33644C79-82E8-45DF-98C4-9568FB98556A}"/>
    <cellStyle name="Millares 2 5 5 2 2" xfId="13622" xr:uid="{C6CAEA30-F88E-4D1F-A526-8ED041E72E70}"/>
    <cellStyle name="Millares 2 5 5 3" xfId="7465" xr:uid="{A4C8C18A-A509-4219-ACF1-1C6AC1DF7B6A}"/>
    <cellStyle name="Millares 2 5 5 3 2" xfId="14994" xr:uid="{FE029D92-CB35-4A30-BD63-57498C3D7372}"/>
    <cellStyle name="Millares 2 5 5 4" xfId="10639" xr:uid="{10D53479-2B87-4AF2-8392-C32595D17941}"/>
    <cellStyle name="Millares 2 5 6" xfId="3181" xr:uid="{89F78750-3087-4178-AB6C-E386D38069A9}"/>
    <cellStyle name="Millares 2 5 6 2" xfId="6185" xr:uid="{C380C196-DE4C-4CE4-8027-7537C1335294}"/>
    <cellStyle name="Millares 2 5 6 2 2" xfId="13746" xr:uid="{9EAF2D88-B00E-4D8C-9F53-70A3B5C6143B}"/>
    <cellStyle name="Millares 2 5 6 3" xfId="7589" xr:uid="{560F1060-A09D-486B-A8E5-12205028D134}"/>
    <cellStyle name="Millares 2 5 6 3 2" xfId="15118" xr:uid="{D355F293-6623-4A23-865A-A814ECC21A87}"/>
    <cellStyle name="Millares 2 5 6 4" xfId="10763" xr:uid="{E32DBBDD-FD90-482C-913D-A1CD8B60D2A0}"/>
    <cellStyle name="Millares 2 5 7" xfId="3306" xr:uid="{81542665-B263-4B0B-8940-EA5E2F8F7DC6}"/>
    <cellStyle name="Millares 2 5 7 2" xfId="6310" xr:uid="{206EE0A2-36CF-43C2-9562-1DA0AFE38C6D}"/>
    <cellStyle name="Millares 2 5 7 2 2" xfId="13871" xr:uid="{4D778361-8A4F-42AF-B188-CD92799CA164}"/>
    <cellStyle name="Millares 2 5 7 3" xfId="7714" xr:uid="{5092E3F7-027B-4D6E-8C4F-21A19FA08847}"/>
    <cellStyle name="Millares 2 5 7 3 2" xfId="15243" xr:uid="{DC8E2877-4CBF-484C-A918-EF6E6B50E09B}"/>
    <cellStyle name="Millares 2 5 7 4" xfId="10888" xr:uid="{36FD4F8F-6394-49C0-AF8B-57BC9C15EF84}"/>
    <cellStyle name="Millares 2 5 8" xfId="3434" xr:uid="{43EC266F-EFFA-43A1-B28D-14211137D10B}"/>
    <cellStyle name="Millares 2 5 8 2" xfId="6436" xr:uid="{0CAE13D8-ECBE-409F-A6D4-6D87DAE8A3F0}"/>
    <cellStyle name="Millares 2 5 8 2 2" xfId="13997" xr:uid="{18D6D613-0EDA-4A9F-A55B-C8E6507E4FF5}"/>
    <cellStyle name="Millares 2 5 8 3" xfId="7840" xr:uid="{05A06BAC-7E29-4E1A-A7EF-597E30B291CE}"/>
    <cellStyle name="Millares 2 5 8 3 2" xfId="15369" xr:uid="{3332767A-6F93-455F-B6C2-57744B71F651}"/>
    <cellStyle name="Millares 2 5 8 4" xfId="11014" xr:uid="{36D24B7B-6070-4C46-8B14-CA7CDF19825A}"/>
    <cellStyle name="Millares 2 5 9" xfId="2441" xr:uid="{993FF118-2163-4084-A48C-F787F66E74B7}"/>
    <cellStyle name="Millares 2 5 9 2" xfId="6572" xr:uid="{2CAD68AE-B2DD-4291-97ED-99483680566F}"/>
    <cellStyle name="Millares 2 5 9 2 2" xfId="14128" xr:uid="{8248491B-01D0-4D31-85EB-452D91D39F93}"/>
    <cellStyle name="Millares 2 5 9 3" xfId="7971" xr:uid="{9A7060A9-D966-4DA4-8C96-B817DFDF6881}"/>
    <cellStyle name="Millares 2 5 9 3 2" xfId="15500" xr:uid="{EB7D9427-C313-4088-B383-232B489C1DB5}"/>
    <cellStyle name="Millares 2 5 9 4" xfId="10029" xr:uid="{C3C73849-F71A-42E9-8AF3-76BB457C857A}"/>
    <cellStyle name="Millares 2 6" xfId="1803" xr:uid="{62610B91-A630-474D-AB08-A695A915B6BE}"/>
    <cellStyle name="Millares 2 6 10" xfId="4762" xr:uid="{7BBC49A4-7FEF-4D86-B0FF-43ED9BFA83DD}"/>
    <cellStyle name="Millares 2 6 10 2" xfId="12330" xr:uid="{1E0907FF-ADD1-43A1-9332-F04F0F90BB27}"/>
    <cellStyle name="Millares 2 6 11" xfId="5457" xr:uid="{58B89603-C8BC-4B8F-BF19-58888C3274FD}"/>
    <cellStyle name="Millares 2 6 11 2" xfId="13018" xr:uid="{27ED3770-6336-4CE5-8C64-866074642425}"/>
    <cellStyle name="Millares 2 6 12" xfId="6861" xr:uid="{675B3D86-9934-4D2D-81FA-0A36870D1188}"/>
    <cellStyle name="Millares 2 6 12 2" xfId="14390" xr:uid="{91BB43FB-4DC8-411D-B213-732A429F6BDF}"/>
    <cellStyle name="Millares 2 6 13" xfId="9410" xr:uid="{A51709EA-5202-4990-81D3-90BDEA83F994}"/>
    <cellStyle name="Millares 2 6 2" xfId="2573" xr:uid="{42B1F2B5-6360-4BAA-A387-86EFB6853AAE}"/>
    <cellStyle name="Millares 2 6 2 2" xfId="6584" xr:uid="{9FAFE1A4-E581-4306-90B8-F4A04FAEDD9F}"/>
    <cellStyle name="Millares 2 6 2 2 2" xfId="7980" xr:uid="{01A24018-F134-46E6-99F9-C9D7F4EB51D9}"/>
    <cellStyle name="Millares 2 6 2 2 2 2" xfId="15509" xr:uid="{024B64B5-CF36-4CE3-BB39-FC1ABB9F7B33}"/>
    <cellStyle name="Millares 2 6 2 2 3" xfId="14137" xr:uid="{4D5E0C03-A73A-4704-B94D-F0B43A425A1F}"/>
    <cellStyle name="Millares 2 6 2 3" xfId="5578" xr:uid="{0C5234E7-AF6B-4E30-87C4-C93D25668125}"/>
    <cellStyle name="Millares 2 6 2 3 2" xfId="13139" xr:uid="{1B0C17C8-15AC-47A3-BA02-7B7AA452FD84}"/>
    <cellStyle name="Millares 2 6 2 4" xfId="6982" xr:uid="{135541CB-BD88-4600-A4AB-E20B05092378}"/>
    <cellStyle name="Millares 2 6 2 4 2" xfId="14511" xr:uid="{D855230C-E984-4655-8354-7F8B5457FCDC}"/>
    <cellStyle name="Millares 2 6 2 5" xfId="10156" xr:uid="{5B57C081-0179-4001-ACD8-7651DE434DAF}"/>
    <cellStyle name="Millares 2 6 3" xfId="2695" xr:uid="{E8959813-F8FE-4130-B6B9-A6EE011332E6}"/>
    <cellStyle name="Millares 2 6 3 2" xfId="5700" xr:uid="{1FCFAA01-39DA-45E0-BE73-C5576FEDA87C}"/>
    <cellStyle name="Millares 2 6 3 2 2" xfId="13261" xr:uid="{F76F88E7-600D-4AEC-A719-380C313ADC3B}"/>
    <cellStyle name="Millares 2 6 3 3" xfId="7104" xr:uid="{87860FD0-639B-4A14-87A2-1BCC4B03E0F5}"/>
    <cellStyle name="Millares 2 6 3 3 2" xfId="14633" xr:uid="{DC7C2C97-CE56-4D85-A415-F1CD1FE8DB25}"/>
    <cellStyle name="Millares 2 6 3 4" xfId="10278" xr:uid="{A851CCE6-FD97-4C46-A0FD-BB8896F0A8A2}"/>
    <cellStyle name="Millares 2 6 4" xfId="2820" xr:uid="{2D08A314-4F8E-4D56-9E7B-DF60B591FDD7}"/>
    <cellStyle name="Millares 2 6 4 2" xfId="5824" xr:uid="{40AD65AA-5FE6-4098-87BB-01F438096A6D}"/>
    <cellStyle name="Millares 2 6 4 2 2" xfId="13385" xr:uid="{621FB13E-8031-46FB-824E-112F7DE83CCD}"/>
    <cellStyle name="Millares 2 6 4 3" xfId="7228" xr:uid="{9C80E461-621F-4422-895E-5261ADD1ED25}"/>
    <cellStyle name="Millares 2 6 4 3 2" xfId="14757" xr:uid="{97962A85-443C-4DCD-91CA-E5EA8F8A1586}"/>
    <cellStyle name="Millares 2 6 4 4" xfId="10402" xr:uid="{73B33D01-8A77-4B1B-98BC-438F922B36F6}"/>
    <cellStyle name="Millares 2 6 5" xfId="2944" xr:uid="{B8489D0B-9A05-467A-8219-DE0E17E87354}"/>
    <cellStyle name="Millares 2 6 5 2" xfId="5948" xr:uid="{DD62E097-BAA6-43E3-9236-EA5C737B312B}"/>
    <cellStyle name="Millares 2 6 5 2 2" xfId="13509" xr:uid="{DBC6C0A1-8E9D-4067-9519-41F1916901DF}"/>
    <cellStyle name="Millares 2 6 5 3" xfId="7352" xr:uid="{947B8B16-4EC1-4EA7-8C45-1D34EC371459}"/>
    <cellStyle name="Millares 2 6 5 3 2" xfId="14881" xr:uid="{6FB91E7B-676D-4A16-BAB5-A70369F147CD}"/>
    <cellStyle name="Millares 2 6 5 4" xfId="10526" xr:uid="{F3E66C45-BBEB-4188-A919-AB1BC53CCEE3}"/>
    <cellStyle name="Millares 2 6 6" xfId="3068" xr:uid="{6D961672-A790-4291-A1BC-B40FC15A67C4}"/>
    <cellStyle name="Millares 2 6 6 2" xfId="6072" xr:uid="{0D8AB8EE-3643-4F63-9C7A-0F19D892EF2A}"/>
    <cellStyle name="Millares 2 6 6 2 2" xfId="13633" xr:uid="{D49E09DC-199A-4035-AF6F-2B222076FAF9}"/>
    <cellStyle name="Millares 2 6 6 3" xfId="7476" xr:uid="{189A1DB7-5009-4F27-906B-BDF330AB4B97}"/>
    <cellStyle name="Millares 2 6 6 3 2" xfId="15005" xr:uid="{5CD3026A-21E3-40CC-A53E-256B05496D93}"/>
    <cellStyle name="Millares 2 6 6 4" xfId="10650" xr:uid="{BEFAC862-0C5E-49B0-9AE4-5263E3C06421}"/>
    <cellStyle name="Millares 2 6 7" xfId="3193" xr:uid="{54393588-4E39-4530-8A45-241A5E00BCAE}"/>
    <cellStyle name="Millares 2 6 7 2" xfId="6197" xr:uid="{3E5FA08C-1365-4313-94D3-A925363FA0EE}"/>
    <cellStyle name="Millares 2 6 7 2 2" xfId="13758" xr:uid="{07C10826-933E-4A0E-AC4C-DA9D11CC0F9D}"/>
    <cellStyle name="Millares 2 6 7 3" xfId="7601" xr:uid="{9D4AB787-287E-4D21-BB8B-15439959BAA8}"/>
    <cellStyle name="Millares 2 6 7 3 2" xfId="15130" xr:uid="{7BCFFA3C-CE90-43D2-8D74-55937346FAF1}"/>
    <cellStyle name="Millares 2 6 7 4" xfId="10775" xr:uid="{ACFCF6DD-5CC6-4AFA-9F4F-1C05633A1EC2}"/>
    <cellStyle name="Millares 2 6 8" xfId="3321" xr:uid="{86E127F9-1990-40F1-B6A7-BE0B3B4B469B}"/>
    <cellStyle name="Millares 2 6 8 2" xfId="6323" xr:uid="{A1285B58-EC79-4E12-B178-75C978FF8DE6}"/>
    <cellStyle name="Millares 2 6 8 2 2" xfId="13884" xr:uid="{D9957561-DC7D-490F-9B1F-A88BC5E249F7}"/>
    <cellStyle name="Millares 2 6 8 3" xfId="7727" xr:uid="{273A4A24-8046-4943-A740-11A8B94964D9}"/>
    <cellStyle name="Millares 2 6 8 3 2" xfId="15256" xr:uid="{DC565A9F-13AF-431A-B555-6A6767850107}"/>
    <cellStyle name="Millares 2 6 8 4" xfId="10901" xr:uid="{2A7AF677-8861-485A-A18F-221A597F64D1}"/>
    <cellStyle name="Millares 2 6 9" xfId="2451" xr:uid="{D3AD5ED0-9F85-4F4C-9D77-5AE7D07D67A2}"/>
    <cellStyle name="Millares 2 6 9 2" xfId="6458" xr:uid="{F8EFAD93-E0F1-46B5-9E2A-4054367FDF8F}"/>
    <cellStyle name="Millares 2 6 9 2 2" xfId="14015" xr:uid="{CD3CC84E-DF2B-4070-A18E-9F3F273EF6EE}"/>
    <cellStyle name="Millares 2 6 9 3" xfId="7858" xr:uid="{3A965371-6E63-475E-8DE9-D36DBCD080F5}"/>
    <cellStyle name="Millares 2 6 9 3 2" xfId="15387" xr:uid="{C7422921-17CE-4F2F-9D46-EF011F41F464}"/>
    <cellStyle name="Millares 2 6 9 4" xfId="10035" xr:uid="{BEC2B67E-3D11-46CF-A64F-8E904F05D789}"/>
    <cellStyle name="Millares 2 7" xfId="2567" xr:uid="{5AC2C021-2BBD-4C12-AFE2-835604FEB07E}"/>
    <cellStyle name="Millares 2 7 2" xfId="6451" xr:uid="{58CF8778-3056-49B4-A01E-D6C2F9440537}"/>
    <cellStyle name="Millares 2 7 2 2" xfId="7852" xr:uid="{B627C205-998F-4514-A709-04F0C6742F8F}"/>
    <cellStyle name="Millares 2 7 2 2 2" xfId="15381" xr:uid="{963BD250-1DCB-451C-9B74-2F28766B5A39}"/>
    <cellStyle name="Millares 2 7 2 3" xfId="14009" xr:uid="{7ACC02A2-A3DA-4EF8-A48E-D5FF8C40B163}"/>
    <cellStyle name="Millares 2 7 3" xfId="5572" xr:uid="{FE4EFB0A-2340-43C6-82E3-B0DB1689E955}"/>
    <cellStyle name="Millares 2 7 3 2" xfId="13133" xr:uid="{48885908-BE31-445F-9403-C767B315ED87}"/>
    <cellStyle name="Millares 2 7 4" xfId="6976" xr:uid="{F9646CEC-5500-42FF-AE3B-EE133F9CEE23}"/>
    <cellStyle name="Millares 2 7 4 2" xfId="14505" xr:uid="{7D44ADBA-3BD2-4C35-B150-C894FDA13160}"/>
    <cellStyle name="Millares 2 7 5" xfId="10150" xr:uid="{9B5EBD31-1096-44E8-A7D0-3F06E26539E0}"/>
    <cellStyle name="Millares 2 8" xfId="2689" xr:uid="{70E5F7AE-D9CD-48BE-82EA-4691083D3593}"/>
    <cellStyle name="Millares 2 8 2" xfId="6576" xr:uid="{756DFFB8-DEF4-4CEE-AA5A-E7A09B7E8C40}"/>
    <cellStyle name="Millares 2 8 2 2" xfId="7974" xr:uid="{F967CF76-91DA-4BB1-8F91-7AA370150663}"/>
    <cellStyle name="Millares 2 8 2 2 2" xfId="15503" xr:uid="{19A10724-4082-4EA8-B19C-AAC3BF76636A}"/>
    <cellStyle name="Millares 2 8 2 3" xfId="14131" xr:uid="{2DC30B28-E656-4480-8E7F-CECCC75DF83B}"/>
    <cellStyle name="Millares 2 8 3" xfId="5694" xr:uid="{C3C9CC7E-AA67-4616-AC6E-D0A4AB016D65}"/>
    <cellStyle name="Millares 2 8 3 2" xfId="13255" xr:uid="{2F4DC7C5-3932-4A17-AC9D-0A845A7A30E9}"/>
    <cellStyle name="Millares 2 8 4" xfId="7098" xr:uid="{78CDC02B-812F-4FCC-85B9-7AAACC57F2AC}"/>
    <cellStyle name="Millares 2 8 4 2" xfId="14627" xr:uid="{494CA135-92B2-4D4F-BFAB-1B5E8288B76E}"/>
    <cellStyle name="Millares 2 8 5" xfId="10272" xr:uid="{6DA24AAD-1882-4732-A9D0-7A4A3972CFF8}"/>
    <cellStyle name="Millares 2 9" xfId="2814" xr:uid="{1BD02245-5D4C-45B9-A369-1FEE313AA4D4}"/>
    <cellStyle name="Millares 2 9 2" xfId="5818" xr:uid="{36152CA4-D68E-439A-8BB8-B3778D2494AE}"/>
    <cellStyle name="Millares 2 9 2 2" xfId="13379" xr:uid="{F5A4376D-0B16-4419-A5E3-B1C1A7F705F9}"/>
    <cellStyle name="Millares 2 9 3" xfId="7222" xr:uid="{7C6EEC9A-0CD7-4198-B1ED-A0985F39672F}"/>
    <cellStyle name="Millares 2 9 3 2" xfId="14751" xr:uid="{B8FE41AF-04B7-445C-ACFC-5466D2B9CCF0}"/>
    <cellStyle name="Millares 2 9 4" xfId="10396" xr:uid="{1D5D5CB2-F8B0-4C35-AED3-3FD8CD2F75F6}"/>
    <cellStyle name="Millares 20" xfId="243" xr:uid="{37937330-D0B7-42ED-81DA-2E655530AD20}"/>
    <cellStyle name="Millares 20 2" xfId="1096" xr:uid="{65585A50-B928-4EC4-B61D-B91292C416A2}"/>
    <cellStyle name="Millares 20 2 2" xfId="4056" xr:uid="{72EC986C-D2E7-4680-A313-82C6B0F3D8D6}"/>
    <cellStyle name="Millares 20 2 2 2" xfId="11624" xr:uid="{A1938872-76AB-4A8A-96A1-05258941B686}"/>
    <cellStyle name="Millares 20 2 3" xfId="8704" xr:uid="{5DC79198-9E94-40A1-AF9A-4D90FF8DAC81}"/>
    <cellStyle name="Millares 20 3" xfId="1460" xr:uid="{621749FF-D296-4FDF-9302-F92AE2F56F41}"/>
    <cellStyle name="Millares 20 3 2" xfId="4420" xr:uid="{A5B61095-EE9B-46B2-B9A8-0D725A9F476C}"/>
    <cellStyle name="Millares 20 3 2 2" xfId="11988" xr:uid="{E6B8DBAC-0DC6-401B-A3CD-F4BE3C40B6B0}"/>
    <cellStyle name="Millares 20 3 3" xfId="9068" xr:uid="{01820B56-98CC-493B-B4D0-1CA6D4C9EA37}"/>
    <cellStyle name="Millares 20 4" xfId="1839" xr:uid="{60F9C400-17F8-4AA5-A6E7-31AB41986291}"/>
    <cellStyle name="Millares 20 4 2" xfId="4798" xr:uid="{C093C4F5-4D4E-476B-8C1A-D459ECF23E11}"/>
    <cellStyle name="Millares 20 4 2 2" xfId="12366" xr:uid="{EA0B73A6-5946-4524-931E-AC194E00386A}"/>
    <cellStyle name="Millares 20 4 3" xfId="9446" xr:uid="{5BAF848E-0CAA-4CA0-AD03-5971E9EE8439}"/>
    <cellStyle name="Millares 20 5" xfId="3525" xr:uid="{90828FAE-F1FA-4FAC-84D6-4C3400DFFD43}"/>
    <cellStyle name="Millares 20 5 2" xfId="11093" xr:uid="{67C4F345-FAD0-4379-9408-B77EC3D7C100}"/>
    <cellStyle name="Millares 20 6" xfId="8173" xr:uid="{16DAE9BE-E1AD-4798-9724-746EF5A6419E}"/>
    <cellStyle name="Millares 200" xfId="784" xr:uid="{2F40A5D5-245F-43EF-8487-04D701EFF40C}"/>
    <cellStyle name="Millares 200 2" xfId="2199" xr:uid="{7DE37FA4-7F8B-4251-99C0-2F2F5B66AB26}"/>
    <cellStyle name="Millares 200 2 2" xfId="5158" xr:uid="{BD594EE5-79DC-41DD-8381-65D222194958}"/>
    <cellStyle name="Millares 200 2 2 2" xfId="12726" xr:uid="{47F0938B-C706-464E-9893-CAFB231F7382}"/>
    <cellStyle name="Millares 200 2 3" xfId="9806" xr:uid="{033F35D4-F061-48DE-A150-1D52B2FD2AD9}"/>
    <cellStyle name="Millares 200 3" xfId="3885" xr:uid="{07FD321F-B90C-41F2-8D03-D1B06E8AC2FB}"/>
    <cellStyle name="Millares 200 3 2" xfId="11453" xr:uid="{8F44CE28-CBE1-42BD-90D8-99821599E715}"/>
    <cellStyle name="Millares 200 4" xfId="8533" xr:uid="{C06F12A4-04BF-4D89-BFB1-DC5A8DA0F4BA}"/>
    <cellStyle name="Millares 201" xfId="787" xr:uid="{F5CD6B31-1134-4F7F-A9AC-8A68E49C8D46}"/>
    <cellStyle name="Millares 201 2" xfId="2201" xr:uid="{4ADEBBE8-3C7E-4B00-B7BC-D019C709DD8A}"/>
    <cellStyle name="Millares 201 2 2" xfId="5160" xr:uid="{E76D6798-DA08-46FC-88BB-16BFFBEBFB6B}"/>
    <cellStyle name="Millares 201 2 2 2" xfId="12728" xr:uid="{7D1525B7-EF3C-447A-A852-41F83A7E6D1B}"/>
    <cellStyle name="Millares 201 2 3" xfId="9808" xr:uid="{E293F898-F193-4286-B1B7-D5E6F20760D6}"/>
    <cellStyle name="Millares 201 3" xfId="3887" xr:uid="{2069F98D-DC5E-4C73-AB31-B9492B56F275}"/>
    <cellStyle name="Millares 201 3 2" xfId="11455" xr:uid="{78ACC2FC-750F-44C3-A469-8A18E475567A}"/>
    <cellStyle name="Millares 201 4" xfId="8535" xr:uid="{937AB0C3-73E6-40AF-9002-A02923AF9BC1}"/>
    <cellStyle name="Millares 202" xfId="790" xr:uid="{8E7E7619-4623-4CCD-8BAA-121C4CFD8757}"/>
    <cellStyle name="Millares 202 2" xfId="2203" xr:uid="{FA14DF0C-86A8-4097-A61B-4A17772C4B4B}"/>
    <cellStyle name="Millares 202 2 2" xfId="5162" xr:uid="{8554E6D2-15FF-4C4D-BFBD-DD8802660413}"/>
    <cellStyle name="Millares 202 2 2 2" xfId="12730" xr:uid="{C1676E39-1BFD-4DF7-8C61-8C1CBDB52E09}"/>
    <cellStyle name="Millares 202 2 3" xfId="9810" xr:uid="{FD54542E-64B3-47EE-83E4-F3F3BAD1FBCA}"/>
    <cellStyle name="Millares 202 3" xfId="3889" xr:uid="{C1FE8EA4-38D4-47AC-8B5F-82D0232EB071}"/>
    <cellStyle name="Millares 202 3 2" xfId="11457" xr:uid="{E012AB45-A514-48EC-8B3D-492C10CDA537}"/>
    <cellStyle name="Millares 202 4" xfId="8537" xr:uid="{FC2AC356-C1EC-4E3C-A7F6-63EA75E746E3}"/>
    <cellStyle name="Millares 203" xfId="793" xr:uid="{4F2A4CE5-0E1D-4295-89C9-BD45FB6CD48E}"/>
    <cellStyle name="Millares 203 2" xfId="2205" xr:uid="{287F809A-B4BD-4EB2-9793-B0BD4E885CDC}"/>
    <cellStyle name="Millares 203 2 2" xfId="5164" xr:uid="{C510749A-7550-4D3D-B247-6296C1C05AE8}"/>
    <cellStyle name="Millares 203 2 2 2" xfId="12732" xr:uid="{948FE966-8A8C-4CC6-B181-811232DE5E45}"/>
    <cellStyle name="Millares 203 2 3" xfId="9812" xr:uid="{081ED8BB-936A-4076-875A-0EB6F6D56ED8}"/>
    <cellStyle name="Millares 203 3" xfId="3891" xr:uid="{B584567E-402F-4029-8AF2-3134D8C47292}"/>
    <cellStyle name="Millares 203 3 2" xfId="11459" xr:uid="{156348DC-169E-431C-8216-C175F8604AF0}"/>
    <cellStyle name="Millares 203 4" xfId="8539" xr:uid="{D55A9ADC-34C6-4C89-8D5F-E0D60250274F}"/>
    <cellStyle name="Millares 204" xfId="796" xr:uid="{FCF792E3-6733-433C-9835-F63FA8D92690}"/>
    <cellStyle name="Millares 204 2" xfId="2207" xr:uid="{A929E3D5-447A-4E92-96E8-1137A6A823FC}"/>
    <cellStyle name="Millares 204 2 2" xfId="5166" xr:uid="{B3FF8CF5-81C3-41D4-90E4-B6506A6122E8}"/>
    <cellStyle name="Millares 204 2 2 2" xfId="12734" xr:uid="{F8C75594-2AE2-4591-A5D8-685AF471EEB5}"/>
    <cellStyle name="Millares 204 2 3" xfId="9814" xr:uid="{ABC77076-C765-4D8F-A213-EC8EE8AD83DE}"/>
    <cellStyle name="Millares 204 3" xfId="3893" xr:uid="{3313352C-03D3-4D92-B6EE-58B49BE06658}"/>
    <cellStyle name="Millares 204 3 2" xfId="11461" xr:uid="{54E1D9A9-7AA4-497B-B0FC-7A37EBCB584D}"/>
    <cellStyle name="Millares 204 4" xfId="8541" xr:uid="{90442B25-BC85-4A76-BF2E-1A540AD8FA86}"/>
    <cellStyle name="Millares 205" xfId="799" xr:uid="{E4459E77-FF4B-4A14-A89B-D8FDC66B5D10}"/>
    <cellStyle name="Millares 205 2" xfId="2209" xr:uid="{CCEEB629-11C5-4300-976E-18382B85D15D}"/>
    <cellStyle name="Millares 205 2 2" xfId="5168" xr:uid="{235B96B6-8416-4B74-9AA8-224C17495080}"/>
    <cellStyle name="Millares 205 2 2 2" xfId="12736" xr:uid="{510B519B-4255-44A6-B43B-7E7764947828}"/>
    <cellStyle name="Millares 205 2 3" xfId="9816" xr:uid="{F7940B55-541A-4BE8-8AF6-F5CA47C4A7DA}"/>
    <cellStyle name="Millares 205 3" xfId="3895" xr:uid="{CEFC00D0-2DE6-45F3-8FE4-FDA220198400}"/>
    <cellStyle name="Millares 205 3 2" xfId="11463" xr:uid="{DE6DB73F-F21A-450C-AF30-BF9E0B05DCA3}"/>
    <cellStyle name="Millares 205 4" xfId="8543" xr:uid="{69485972-794D-4553-913C-41FB1018FF34}"/>
    <cellStyle name="Millares 206" xfId="802" xr:uid="{8EB7D872-BD84-402F-92E9-4BDFA37C1902}"/>
    <cellStyle name="Millares 206 2" xfId="2211" xr:uid="{6B2791DD-FEFA-4D3D-93AD-2FCC2216463C}"/>
    <cellStyle name="Millares 206 2 2" xfId="5170" xr:uid="{D814315B-B508-40F2-9447-CAAB3F657032}"/>
    <cellStyle name="Millares 206 2 2 2" xfId="12738" xr:uid="{2A16B260-497B-4F43-9A47-E37C556493CC}"/>
    <cellStyle name="Millares 206 2 3" xfId="9818" xr:uid="{159684BA-FBAE-4DC9-BFB7-3592B0F0A32B}"/>
    <cellStyle name="Millares 206 3" xfId="3897" xr:uid="{93D64ABE-581D-4C80-9E58-8C690AD45123}"/>
    <cellStyle name="Millares 206 3 2" xfId="11465" xr:uid="{29C8586E-D131-4294-9E26-94F1634F1921}"/>
    <cellStyle name="Millares 206 4" xfId="8545" xr:uid="{826F2937-4A88-489D-9BCD-DD124E670ED8}"/>
    <cellStyle name="Millares 207" xfId="805" xr:uid="{C9D65E09-1030-41C3-9183-8902EFE6EB70}"/>
    <cellStyle name="Millares 207 2" xfId="2213" xr:uid="{38DD1F5B-E530-4F31-908D-3583965AD0AC}"/>
    <cellStyle name="Millares 207 2 2" xfId="5172" xr:uid="{FEDCF4C1-9280-4712-9311-34FCA119C7A8}"/>
    <cellStyle name="Millares 207 2 2 2" xfId="12740" xr:uid="{6FF01ECC-19F6-4C91-BC44-FEC902A99814}"/>
    <cellStyle name="Millares 207 2 3" xfId="9820" xr:uid="{8227A330-4756-47C6-B559-3BB94C36D257}"/>
    <cellStyle name="Millares 207 3" xfId="3899" xr:uid="{3DCDB0B7-BA83-4B77-8ED5-7205B8062D23}"/>
    <cellStyle name="Millares 207 3 2" xfId="11467" xr:uid="{D8458D9C-9EC0-47DB-857C-D4B911C3652A}"/>
    <cellStyle name="Millares 207 4" xfId="8547" xr:uid="{AB7F0965-1594-42AD-B1D6-4D514145946C}"/>
    <cellStyle name="Millares 208" xfId="808" xr:uid="{9A681A35-6B67-4F49-A57A-4CBA9D75DB6F}"/>
    <cellStyle name="Millares 208 2" xfId="2215" xr:uid="{A7B6117E-D484-4974-9B13-30F9AC80B682}"/>
    <cellStyle name="Millares 208 2 2" xfId="5174" xr:uid="{E92266D1-85B3-4760-B88B-9A294928FE07}"/>
    <cellStyle name="Millares 208 2 2 2" xfId="12742" xr:uid="{C98FC05F-17EB-4AD9-940A-B1134905C525}"/>
    <cellStyle name="Millares 208 2 3" xfId="9822" xr:uid="{B51FE098-BB19-47E4-ADD8-99D3E02A24F0}"/>
    <cellStyle name="Millares 208 3" xfId="3901" xr:uid="{1E20F3CA-9EE2-4C08-9EFB-0AC26BC29553}"/>
    <cellStyle name="Millares 208 3 2" xfId="11469" xr:uid="{E5FEA9AE-F1F9-41C0-907E-CBB90E7638BE}"/>
    <cellStyle name="Millares 208 4" xfId="8549" xr:uid="{EAAD9D4F-857B-4ACB-B2EE-9DB409611AE5}"/>
    <cellStyle name="Millares 209" xfId="811" xr:uid="{C8A3DF7C-0FF2-4E3B-B270-26173C0B00FB}"/>
    <cellStyle name="Millares 209 2" xfId="2217" xr:uid="{38FA9685-2064-41CB-9E0B-63D7E46B1153}"/>
    <cellStyle name="Millares 209 2 2" xfId="5176" xr:uid="{86C71EB1-4730-4E52-9D10-17E46E8D8427}"/>
    <cellStyle name="Millares 209 2 2 2" xfId="12744" xr:uid="{E1DBA2E2-5662-4BFD-9C9E-3F599951E10E}"/>
    <cellStyle name="Millares 209 2 3" xfId="9824" xr:uid="{CD153CF1-96F4-4A6F-98B8-FFC1867D3970}"/>
    <cellStyle name="Millares 209 3" xfId="3903" xr:uid="{D9253C81-C2AC-477B-BD3A-693B9059568F}"/>
    <cellStyle name="Millares 209 3 2" xfId="11471" xr:uid="{69599CB8-F914-4EF6-B79F-490518693704}"/>
    <cellStyle name="Millares 209 4" xfId="8551" xr:uid="{788DB786-4E37-4200-AB33-A6C02B2095AA}"/>
    <cellStyle name="Millares 21" xfId="246" xr:uid="{81DAA126-4744-4A9A-B7BC-44F9790CC9F0}"/>
    <cellStyle name="Millares 21 2" xfId="1098" xr:uid="{2C07EDFE-6BC2-4E5C-8303-ACA22BDD1343}"/>
    <cellStyle name="Millares 21 2 2" xfId="4058" xr:uid="{62D0A014-EC87-46FE-80A0-3DBF48D8C954}"/>
    <cellStyle name="Millares 21 2 2 2" xfId="11626" xr:uid="{E83D5C14-5B71-47BD-B73E-3B7947C39BA2}"/>
    <cellStyle name="Millares 21 2 3" xfId="8706" xr:uid="{C7A29334-750E-4EDD-B2DF-303C2F2FF861}"/>
    <cellStyle name="Millares 21 3" xfId="1462" xr:uid="{1D763686-CE8F-4034-A36A-914F42FEEE94}"/>
    <cellStyle name="Millares 21 3 2" xfId="4422" xr:uid="{5AEF4C72-D728-4D9F-8111-0CA2A5568B10}"/>
    <cellStyle name="Millares 21 3 2 2" xfId="11990" xr:uid="{A5CB9B45-CA24-4B39-9C37-238CDFF8AB04}"/>
    <cellStyle name="Millares 21 3 3" xfId="9070" xr:uid="{BEA6AE91-8D78-400E-819C-288E6BE04D44}"/>
    <cellStyle name="Millares 21 4" xfId="1841" xr:uid="{34000A5B-E826-4B3F-9AD4-D5AA7FDF018B}"/>
    <cellStyle name="Millares 21 4 2" xfId="4800" xr:uid="{3CEFA65A-9B0C-4A68-8ED6-3207CBA8BB56}"/>
    <cellStyle name="Millares 21 4 2 2" xfId="12368" xr:uid="{705D2A1B-277C-4C4F-A363-DD4C0C8E6425}"/>
    <cellStyle name="Millares 21 4 3" xfId="9448" xr:uid="{7C4CD213-921B-453D-959C-B22397A30B51}"/>
    <cellStyle name="Millares 21 5" xfId="3527" xr:uid="{F0555C31-D704-452F-AF80-082F3CEE1D8C}"/>
    <cellStyle name="Millares 21 5 2" xfId="11095" xr:uid="{306F31F9-BCD5-4EE3-86A2-5B7E217C8877}"/>
    <cellStyle name="Millares 21 6" xfId="8175" xr:uid="{4DEE890C-7A9A-4EDA-A50C-33148075C6B7}"/>
    <cellStyle name="Millares 210" xfId="814" xr:uid="{07C623F3-6106-43DB-A9DC-CDEF24D61510}"/>
    <cellStyle name="Millares 210 2" xfId="2219" xr:uid="{34725555-081A-44CA-95CC-85F18B54B2A4}"/>
    <cellStyle name="Millares 210 2 2" xfId="5178" xr:uid="{FC77ED6F-F015-4305-98FF-7762350ABF4F}"/>
    <cellStyle name="Millares 210 2 2 2" xfId="12746" xr:uid="{07B7A43F-70C4-490B-9B96-D30D892B8340}"/>
    <cellStyle name="Millares 210 2 3" xfId="9826" xr:uid="{D8CCA664-0EDE-4E2C-A4D0-D45340612E85}"/>
    <cellStyle name="Millares 210 3" xfId="3905" xr:uid="{9483D1CF-0E46-4AD3-933B-3562DC7ADC78}"/>
    <cellStyle name="Millares 210 3 2" xfId="11473" xr:uid="{AB9CB45E-FD10-459D-9D1E-DB610F75A298}"/>
    <cellStyle name="Millares 210 4" xfId="8553" xr:uid="{BDB7C89D-E582-4AF8-BA96-C7A8B3DA6F55}"/>
    <cellStyle name="Millares 211" xfId="817" xr:uid="{473CBFF1-65DE-4F6E-9C65-23FDBFA729ED}"/>
    <cellStyle name="Millares 211 2" xfId="2221" xr:uid="{64D0351F-663A-414C-954F-6E129F630CF3}"/>
    <cellStyle name="Millares 211 2 2" xfId="5180" xr:uid="{373CC249-DB4B-45E4-8CA8-4525B83BC256}"/>
    <cellStyle name="Millares 211 2 2 2" xfId="12748" xr:uid="{E0AF7E9A-FE86-4BF1-BF81-3054A227A2CF}"/>
    <cellStyle name="Millares 211 2 3" xfId="9828" xr:uid="{C56D0FE2-8D19-4649-9324-9F255A044A59}"/>
    <cellStyle name="Millares 211 3" xfId="3907" xr:uid="{6D9B9DB6-673D-4D67-91C4-748DE94E44B6}"/>
    <cellStyle name="Millares 211 3 2" xfId="11475" xr:uid="{568CB166-D0CC-4982-A28E-435583ED2395}"/>
    <cellStyle name="Millares 211 4" xfId="8555" xr:uid="{6610C5CF-8AB2-40E7-914B-D917974837EB}"/>
    <cellStyle name="Millares 212" xfId="820" xr:uid="{C61728E0-3DEF-4A0E-B703-4D9A0693BA91}"/>
    <cellStyle name="Millares 212 2" xfId="2223" xr:uid="{60CACD2C-E97A-4696-BFF4-3361E5E650B4}"/>
    <cellStyle name="Millares 212 2 2" xfId="5182" xr:uid="{28F3F004-A529-4C41-BE4A-33A872E9193C}"/>
    <cellStyle name="Millares 212 2 2 2" xfId="12750" xr:uid="{4F069C9E-02CE-4E78-BE16-744A2075B6A5}"/>
    <cellStyle name="Millares 212 2 3" xfId="9830" xr:uid="{9A070A5F-2DD2-4A5D-B7FC-C7AE6DCDF474}"/>
    <cellStyle name="Millares 212 3" xfId="3909" xr:uid="{E6FF87DF-B100-4AF3-9843-3CB0F6D6D003}"/>
    <cellStyle name="Millares 212 3 2" xfId="11477" xr:uid="{23823B32-0347-4E1A-A7D7-0475F8A35D3A}"/>
    <cellStyle name="Millares 212 4" xfId="8557" xr:uid="{D447F681-BA09-4C4B-896D-A7DF2F6E3164}"/>
    <cellStyle name="Millares 213" xfId="823" xr:uid="{E5717D8B-E2C9-4F46-B891-77D521143EE8}"/>
    <cellStyle name="Millares 213 2" xfId="2225" xr:uid="{C99232C1-C35B-48F5-8290-19C20DDB3E88}"/>
    <cellStyle name="Millares 213 2 2" xfId="5184" xr:uid="{5B120754-31C1-42A3-A64A-ED2B9D0EF003}"/>
    <cellStyle name="Millares 213 2 2 2" xfId="12752" xr:uid="{48DB229A-2CEF-4E01-BCB4-F3992439A9B3}"/>
    <cellStyle name="Millares 213 2 3" xfId="9832" xr:uid="{E132E5BA-2D6B-4817-8EB1-4D44AC378D0B}"/>
    <cellStyle name="Millares 213 3" xfId="3911" xr:uid="{74C2DB87-A7BC-4CD6-B42D-032B1C685267}"/>
    <cellStyle name="Millares 213 3 2" xfId="11479" xr:uid="{62DD782B-C3F2-47EC-AF30-321407B40587}"/>
    <cellStyle name="Millares 213 4" xfId="8559" xr:uid="{4C783AD5-0E13-4684-8EA1-94F31F3FC3E3}"/>
    <cellStyle name="Millares 214" xfId="826" xr:uid="{27750C09-DA00-40FC-8183-2B4FE0156BEF}"/>
    <cellStyle name="Millares 214 2" xfId="2227" xr:uid="{1B14281A-0731-4D5B-BA64-67B146E30FDC}"/>
    <cellStyle name="Millares 214 2 2" xfId="5186" xr:uid="{451B7667-7EC4-4280-A588-F72CA6282E7D}"/>
    <cellStyle name="Millares 214 2 2 2" xfId="12754" xr:uid="{F20CC9AC-F335-49A5-86D3-2D06BD81F6BD}"/>
    <cellStyle name="Millares 214 2 3" xfId="9834" xr:uid="{E32B3C64-AF88-4402-A32B-A06F5FADE1E3}"/>
    <cellStyle name="Millares 214 3" xfId="3913" xr:uid="{FA0A7E17-F004-4230-B75A-96583ACA78E0}"/>
    <cellStyle name="Millares 214 3 2" xfId="11481" xr:uid="{CCF00AC2-4A0F-4256-B7E8-FEB6F660EC79}"/>
    <cellStyle name="Millares 214 4" xfId="8561" xr:uid="{A5F1B5A6-D12A-477B-B592-08673FFF4073}"/>
    <cellStyle name="Millares 215" xfId="829" xr:uid="{F3AE2C80-5E2D-4141-9012-40FB97E3276D}"/>
    <cellStyle name="Millares 215 2" xfId="2229" xr:uid="{8923D7EB-E91C-4B5A-ABD9-44C497FE5EF9}"/>
    <cellStyle name="Millares 215 2 2" xfId="5188" xr:uid="{0374207E-BC09-478B-99D0-B854A909BA3E}"/>
    <cellStyle name="Millares 215 2 2 2" xfId="12756" xr:uid="{75967986-B879-488C-A21F-7F11C8879DDF}"/>
    <cellStyle name="Millares 215 2 3" xfId="9836" xr:uid="{2FB6B427-38AE-4E7A-B858-7B1EAED50CE4}"/>
    <cellStyle name="Millares 215 3" xfId="3915" xr:uid="{6E32184D-42B4-4C1D-A86A-F6CF2C407ECA}"/>
    <cellStyle name="Millares 215 3 2" xfId="11483" xr:uid="{C7096792-91ED-4529-84E2-BC16193EA24A}"/>
    <cellStyle name="Millares 215 4" xfId="8563" xr:uid="{B600C6B5-F522-46B1-B05B-0D4A76CDA717}"/>
    <cellStyle name="Millares 216" xfId="832" xr:uid="{ED11734B-B614-424E-9E40-869A55C04BCE}"/>
    <cellStyle name="Millares 216 2" xfId="2231" xr:uid="{0ED281D5-D7F6-4B79-AA1F-422FF34CAB1B}"/>
    <cellStyle name="Millares 216 2 2" xfId="5190" xr:uid="{D76FAB1A-BD49-4CB7-A38B-83A895F24FF8}"/>
    <cellStyle name="Millares 216 2 2 2" xfId="12758" xr:uid="{8E99641A-3DA8-4E0F-B069-910E21F72AD1}"/>
    <cellStyle name="Millares 216 2 3" xfId="9838" xr:uid="{2B2BBB59-228B-46E4-BD46-0E953CE86381}"/>
    <cellStyle name="Millares 216 3" xfId="3917" xr:uid="{D0BE01D2-992D-4EAB-A2CF-689986287F5A}"/>
    <cellStyle name="Millares 216 3 2" xfId="11485" xr:uid="{B040894C-A2A4-4645-AEBE-779D829295F4}"/>
    <cellStyle name="Millares 216 4" xfId="8565" xr:uid="{DC5506F0-0551-47F7-ABD5-69E4D1A10463}"/>
    <cellStyle name="Millares 217" xfId="835" xr:uid="{F9022FF9-2DA5-408D-9958-145BF153AE01}"/>
    <cellStyle name="Millares 217 2" xfId="2233" xr:uid="{1CED7A1A-3900-4A1E-945F-EA2A0CD28BB1}"/>
    <cellStyle name="Millares 217 2 2" xfId="5192" xr:uid="{3879EECC-746C-4D33-80E8-59A34BD237A2}"/>
    <cellStyle name="Millares 217 2 2 2" xfId="12760" xr:uid="{C2CBAC7C-E2E0-488C-AD2F-202FD0F52FFA}"/>
    <cellStyle name="Millares 217 2 3" xfId="9840" xr:uid="{CA54D562-6888-4080-812F-F98771A1ABAC}"/>
    <cellStyle name="Millares 217 3" xfId="3919" xr:uid="{CE04468A-A8A3-4F88-9429-C7FFE82794AD}"/>
    <cellStyle name="Millares 217 3 2" xfId="11487" xr:uid="{43EF7F90-41E0-440B-A5A1-4E09F6908B44}"/>
    <cellStyle name="Millares 217 4" xfId="8567" xr:uid="{1712FDE2-7474-4E17-9BCE-15C9E5748152}"/>
    <cellStyle name="Millares 218" xfId="838" xr:uid="{64E59CE8-9217-48B9-BA46-68C32DABC756}"/>
    <cellStyle name="Millares 218 2" xfId="2235" xr:uid="{1F09A0BC-33E4-47CA-BFDC-6D2EB95084CA}"/>
    <cellStyle name="Millares 218 2 2" xfId="5194" xr:uid="{EC6BE802-AFA4-4B91-9FCC-9144C6178244}"/>
    <cellStyle name="Millares 218 2 2 2" xfId="12762" xr:uid="{050C4E36-B1B1-436E-9FFE-E31BD61161E6}"/>
    <cellStyle name="Millares 218 2 3" xfId="9842" xr:uid="{DE555F90-3A09-4ACF-9902-5B875193E149}"/>
    <cellStyle name="Millares 218 3" xfId="3921" xr:uid="{83CF534E-604F-4091-988F-7A666FB6139E}"/>
    <cellStyle name="Millares 218 3 2" xfId="11489" xr:uid="{42B565B1-D9C1-4A30-85BD-DC1F960DCF01}"/>
    <cellStyle name="Millares 218 4" xfId="8569" xr:uid="{68BAC217-52CB-423A-B620-C2FE5A915D63}"/>
    <cellStyle name="Millares 219" xfId="841" xr:uid="{802DF746-F418-4CD1-AECF-34AE864CAB9E}"/>
    <cellStyle name="Millares 219 2" xfId="2237" xr:uid="{6961FE30-C541-480B-B584-C73EDA213360}"/>
    <cellStyle name="Millares 219 2 2" xfId="5196" xr:uid="{80A2A584-3915-4AAA-9830-CE40ECB2C75C}"/>
    <cellStyle name="Millares 219 2 2 2" xfId="12764" xr:uid="{5AC50EAD-E8B5-43BD-A07D-D57FDA4A9B7B}"/>
    <cellStyle name="Millares 219 2 3" xfId="9844" xr:uid="{5FA41A7D-A675-4112-8AB2-71408AA0AA50}"/>
    <cellStyle name="Millares 219 3" xfId="3923" xr:uid="{2F62E108-5AEF-457B-BD9E-7CF9A500B912}"/>
    <cellStyle name="Millares 219 3 2" xfId="11491" xr:uid="{B00A3989-DCAE-4B5D-8DC5-4F76EAE362AA}"/>
    <cellStyle name="Millares 219 4" xfId="8571" xr:uid="{B0AA824A-073C-4982-9661-05BB5F9C24E9}"/>
    <cellStyle name="Millares 22" xfId="249" xr:uid="{8FE05FAC-1927-4AAD-9DF2-FAF675544683}"/>
    <cellStyle name="Millares 22 2" xfId="1100" xr:uid="{5BF89FA9-723C-48F8-A9CA-D144CA7DA332}"/>
    <cellStyle name="Millares 22 2 2" xfId="4060" xr:uid="{0FEE4C06-0A54-4D38-9CD9-F501BF754A4A}"/>
    <cellStyle name="Millares 22 2 2 2" xfId="11628" xr:uid="{4F814F6F-4F2C-41A0-81C0-BB0B4737A376}"/>
    <cellStyle name="Millares 22 2 3" xfId="8708" xr:uid="{A21098B4-27D7-408E-B039-8D9EFD9B40D3}"/>
    <cellStyle name="Millares 22 3" xfId="1464" xr:uid="{38E343ED-E0C8-4F85-9026-499868857D03}"/>
    <cellStyle name="Millares 22 3 2" xfId="4424" xr:uid="{A6BD335F-314C-4CEA-B5C0-AF9192DCD505}"/>
    <cellStyle name="Millares 22 3 2 2" xfId="11992" xr:uid="{9070EEE0-D121-47EA-AA85-B068A5468E91}"/>
    <cellStyle name="Millares 22 3 3" xfId="9072" xr:uid="{671A8CD8-00C1-4E1C-A826-6C65C94DF46C}"/>
    <cellStyle name="Millares 22 4" xfId="1843" xr:uid="{F0C45E84-97E6-4FF8-ADB7-725514383014}"/>
    <cellStyle name="Millares 22 4 2" xfId="4802" xr:uid="{82F48502-9355-473C-ABB1-38EC613A8FB3}"/>
    <cellStyle name="Millares 22 4 2 2" xfId="12370" xr:uid="{F49F8061-6A2B-4FE4-8C27-DA282D728E71}"/>
    <cellStyle name="Millares 22 4 3" xfId="9450" xr:uid="{ACD4FB4A-4ED1-49E4-B6F7-D8529BDD83D8}"/>
    <cellStyle name="Millares 22 5" xfId="3529" xr:uid="{43B0F62E-5748-45ED-8B9D-F0EBC95FCFFF}"/>
    <cellStyle name="Millares 22 5 2" xfId="11097" xr:uid="{F1F9972D-4B11-4353-ADE5-5EEC304A56D1}"/>
    <cellStyle name="Millares 22 6" xfId="8177" xr:uid="{36863C5F-AD2B-40D3-A87F-EF4757BB5605}"/>
    <cellStyle name="Millares 220" xfId="844" xr:uid="{B10B2A53-44C0-4BDC-A5AC-97C8B90E90AC}"/>
    <cellStyle name="Millares 220 2" xfId="2239" xr:uid="{9D6F2F22-30E6-4E96-9809-BD752393E8A1}"/>
    <cellStyle name="Millares 220 2 2" xfId="5198" xr:uid="{8AF4B472-D49D-4870-8E7B-F4E0F2DA5834}"/>
    <cellStyle name="Millares 220 2 2 2" xfId="12766" xr:uid="{B92F1C38-14F7-4EF6-A737-4A68A292BCB9}"/>
    <cellStyle name="Millares 220 2 3" xfId="9846" xr:uid="{6FEE9959-20B0-4E4A-9A53-FA2D1459BA1F}"/>
    <cellStyle name="Millares 220 3" xfId="3925" xr:uid="{519396FA-C510-42FC-90F1-C645FE33AED0}"/>
    <cellStyle name="Millares 220 3 2" xfId="11493" xr:uid="{86417EBB-0309-4258-8250-93812B6E43F6}"/>
    <cellStyle name="Millares 220 4" xfId="8573" xr:uid="{6BBB2307-F4F1-4FED-8FF1-0EF766069206}"/>
    <cellStyle name="Millares 221" xfId="847" xr:uid="{54B52CC4-D047-4A15-B599-CB5231DC369B}"/>
    <cellStyle name="Millares 221 2" xfId="2241" xr:uid="{31966864-9578-45B8-BEDA-4B3C439C99E8}"/>
    <cellStyle name="Millares 221 2 2" xfId="5200" xr:uid="{1D136E04-DBBD-4A1D-8711-41450A391845}"/>
    <cellStyle name="Millares 221 2 2 2" xfId="12768" xr:uid="{2132AB17-EC5E-474D-BB68-1BD023AF87DE}"/>
    <cellStyle name="Millares 221 2 3" xfId="9848" xr:uid="{BAC9E1AA-869E-46EE-9F54-56BF68309941}"/>
    <cellStyle name="Millares 221 3" xfId="3927" xr:uid="{CF20BDD0-7DBA-4D13-9232-349609F7B5C2}"/>
    <cellStyle name="Millares 221 3 2" xfId="11495" xr:uid="{BF7C1897-B7E5-4936-A51E-74A26A7C794A}"/>
    <cellStyle name="Millares 221 4" xfId="8575" xr:uid="{94A21F1D-A5B9-4D5C-8510-DD3982339EC4}"/>
    <cellStyle name="Millares 222" xfId="850" xr:uid="{D6BCD791-82FC-418F-A73D-C9106038D248}"/>
    <cellStyle name="Millares 222 2" xfId="2243" xr:uid="{F284DC16-7CF5-471F-B7CB-6DFB3013EE2A}"/>
    <cellStyle name="Millares 222 2 2" xfId="5202" xr:uid="{BABACD3E-DB85-4D24-AE4B-EC365CFE60DE}"/>
    <cellStyle name="Millares 222 2 2 2" xfId="12770" xr:uid="{C2729EAC-1526-443E-921F-7AEB5461CB21}"/>
    <cellStyle name="Millares 222 2 3" xfId="9850" xr:uid="{E76C2DF6-0A43-4931-8A9D-470F3701A78A}"/>
    <cellStyle name="Millares 222 3" xfId="3929" xr:uid="{33A3DCFC-1F14-412F-8300-82EA86F119F2}"/>
    <cellStyle name="Millares 222 3 2" xfId="11497" xr:uid="{9EFC8259-5976-4874-81E0-520A354E428D}"/>
    <cellStyle name="Millares 222 4" xfId="8577" xr:uid="{EBEFAD70-E261-4110-A99C-1D37F16EB136}"/>
    <cellStyle name="Millares 223" xfId="853" xr:uid="{6A9E62C8-6D39-44A8-9598-C5D653F15A3D}"/>
    <cellStyle name="Millares 223 2" xfId="2245" xr:uid="{783ABDCB-FBC9-4288-A157-10491BAE3799}"/>
    <cellStyle name="Millares 223 2 2" xfId="5204" xr:uid="{F07B59EB-3E93-4F8F-AE73-3F77BBCC6CED}"/>
    <cellStyle name="Millares 223 2 2 2" xfId="12772" xr:uid="{8CDB0D70-88B3-4425-927A-212270729BE3}"/>
    <cellStyle name="Millares 223 2 3" xfId="9852" xr:uid="{0867A44B-DE87-4A53-9612-7705A5639E64}"/>
    <cellStyle name="Millares 223 3" xfId="3931" xr:uid="{9FAD687F-DB64-4AC5-B33B-CBCE25DFEB84}"/>
    <cellStyle name="Millares 223 3 2" xfId="11499" xr:uid="{044763AF-481E-4E2E-ACD1-4BD2D1549721}"/>
    <cellStyle name="Millares 223 4" xfId="8579" xr:uid="{1F289625-2134-42FA-88BE-BEB36954394E}"/>
    <cellStyle name="Millares 224" xfId="856" xr:uid="{C3FB3A6F-4514-41AC-8E84-3F3C3F864513}"/>
    <cellStyle name="Millares 224 2" xfId="2247" xr:uid="{03B6FFC8-C92B-4AC6-BE32-8AA6035EA887}"/>
    <cellStyle name="Millares 224 2 2" xfId="5206" xr:uid="{F71020C0-D193-46DE-B9A6-725395A339D8}"/>
    <cellStyle name="Millares 224 2 2 2" xfId="12774" xr:uid="{5506AD43-4A61-4182-AEB0-92A2E1993BD1}"/>
    <cellStyle name="Millares 224 2 3" xfId="9854" xr:uid="{F0D1AFC2-A610-4006-82D5-694740C9003D}"/>
    <cellStyle name="Millares 224 3" xfId="3933" xr:uid="{C055BB41-A499-4DCD-A910-E22CB9641E05}"/>
    <cellStyle name="Millares 224 3 2" xfId="11501" xr:uid="{FA76150F-C505-4E1E-8BAD-0D9BC53A4C32}"/>
    <cellStyle name="Millares 224 4" xfId="8581" xr:uid="{87EE864E-FE32-44C5-B5DE-F99042CF5CDD}"/>
    <cellStyle name="Millares 225" xfId="859" xr:uid="{84FFD991-4535-431A-B17B-3A8574B0DCDA}"/>
    <cellStyle name="Millares 225 2" xfId="2249" xr:uid="{59C849D4-18CD-4D29-BD94-6D49EC3A7575}"/>
    <cellStyle name="Millares 225 2 2" xfId="5208" xr:uid="{1038F4EE-2A1A-46FB-8ACB-C6DE80261DB7}"/>
    <cellStyle name="Millares 225 2 2 2" xfId="12776" xr:uid="{EC2BE10F-AEE6-419A-AF10-EFF3C1EA176D}"/>
    <cellStyle name="Millares 225 2 3" xfId="9856" xr:uid="{15D70A0D-EED0-4CDF-B1D1-DE1CE21F489B}"/>
    <cellStyle name="Millares 225 3" xfId="3935" xr:uid="{0565B3D7-8438-43B1-B520-0F95C0E98EB4}"/>
    <cellStyle name="Millares 225 3 2" xfId="11503" xr:uid="{B9B5A778-4D5C-4F4C-B0DB-13E90CB654C5}"/>
    <cellStyle name="Millares 225 4" xfId="8583" xr:uid="{9E063CBD-C029-4621-9B3B-A472202777E9}"/>
    <cellStyle name="Millares 226" xfId="862" xr:uid="{362755BF-548E-44C2-9B27-8DCE1C64DB89}"/>
    <cellStyle name="Millares 226 2" xfId="2251" xr:uid="{B9CCCBB6-EFB6-43D7-BB9E-D48DE64176CF}"/>
    <cellStyle name="Millares 226 2 2" xfId="5210" xr:uid="{73811D34-C33A-42EC-9F98-E6BF7356CF87}"/>
    <cellStyle name="Millares 226 2 2 2" xfId="12778" xr:uid="{2C869ADE-0939-4288-87D0-EF7BCB8D281D}"/>
    <cellStyle name="Millares 226 2 3" xfId="9858" xr:uid="{EAA19D00-E643-4B55-893F-5FFEB3363D09}"/>
    <cellStyle name="Millares 226 3" xfId="3937" xr:uid="{0FF090BA-F1FB-4309-9342-AB9EACC1B17A}"/>
    <cellStyle name="Millares 226 3 2" xfId="11505" xr:uid="{0B2B7B5A-9284-41A9-9F20-3BBB5F2DDA5A}"/>
    <cellStyle name="Millares 226 4" xfId="8585" xr:uid="{5437A38C-C412-4D95-ADAD-54B4B7DAB5BA}"/>
    <cellStyle name="Millares 227" xfId="865" xr:uid="{CDF4C5A5-A6F4-4CC5-A693-F851827F377C}"/>
    <cellStyle name="Millares 227 2" xfId="2253" xr:uid="{8F12690D-9D7E-4037-87DC-DDFE2B34DDEF}"/>
    <cellStyle name="Millares 227 2 2" xfId="5212" xr:uid="{830FD9B4-7C73-401C-9C8C-B0F976AF9B1D}"/>
    <cellStyle name="Millares 227 2 2 2" xfId="12780" xr:uid="{8E04896A-C785-4170-9ABB-56BA5C6BF27D}"/>
    <cellStyle name="Millares 227 2 3" xfId="9860" xr:uid="{D7E74182-BAC1-43D7-8979-C4BFFCB2654F}"/>
    <cellStyle name="Millares 227 3" xfId="3939" xr:uid="{D7AA455C-6F58-4DEA-A1A0-2DDAE8327ADF}"/>
    <cellStyle name="Millares 227 3 2" xfId="11507" xr:uid="{EBDC3DAF-95CD-4ED1-91E5-25BEF2A2499E}"/>
    <cellStyle name="Millares 227 4" xfId="8587" xr:uid="{2D7353A3-99DF-411E-99BC-A39E92FC3CAD}"/>
    <cellStyle name="Millares 228" xfId="868" xr:uid="{8BD7B730-FDD6-4FBD-8724-42E001C03A76}"/>
    <cellStyle name="Millares 228 2" xfId="2255" xr:uid="{65D08B2A-7F39-46DE-8A02-3A81624E1039}"/>
    <cellStyle name="Millares 228 2 2" xfId="5214" xr:uid="{A72490FA-3C6C-4FF4-AE70-184067B5B2B7}"/>
    <cellStyle name="Millares 228 2 2 2" xfId="12782" xr:uid="{9BAFECD6-6978-473A-8291-F77F17217384}"/>
    <cellStyle name="Millares 228 2 3" xfId="9862" xr:uid="{CC6D511E-12F9-4A63-BB61-3ACF7602A5F8}"/>
    <cellStyle name="Millares 228 3" xfId="3941" xr:uid="{49C07B3F-FE37-4654-B6FC-ACD8FB51D5C7}"/>
    <cellStyle name="Millares 228 3 2" xfId="11509" xr:uid="{2596DB10-68AE-4AC8-BB8A-6EE711606537}"/>
    <cellStyle name="Millares 228 4" xfId="8589" xr:uid="{1C87E874-8358-4254-9015-2C2375D7A8E6}"/>
    <cellStyle name="Millares 229" xfId="871" xr:uid="{E4086319-99AC-4011-9DA4-F80760331B30}"/>
    <cellStyle name="Millares 229 2" xfId="1050" xr:uid="{4E59B675-6022-4F0D-A997-51375D5FA138}"/>
    <cellStyle name="Millares 229 2 2" xfId="4010" xr:uid="{78A3C3F5-3F30-4572-B55C-0ECCC88F1E5F}"/>
    <cellStyle name="Millares 229 2 2 2" xfId="11578" xr:uid="{FB58ADF6-47DB-4342-A6C0-B7F31892F0DF}"/>
    <cellStyle name="Millares 229 2 3" xfId="8658" xr:uid="{46D311E1-0830-42E1-BEC4-EF4FAA322F9E}"/>
    <cellStyle name="Millares 229 3" xfId="2257" xr:uid="{7C64CBD2-741B-42E1-8B4D-0B1D3F692D96}"/>
    <cellStyle name="Millares 229 3 2" xfId="5216" xr:uid="{C9391A30-F517-46B9-88AD-8872A6C298FC}"/>
    <cellStyle name="Millares 229 3 2 2" xfId="12784" xr:uid="{22C476CC-1948-44AA-90DD-140DB8014971}"/>
    <cellStyle name="Millares 229 3 3" xfId="9864" xr:uid="{81473F94-D1B4-4E3E-A98E-9549CEC9CFDC}"/>
    <cellStyle name="Millares 229 4" xfId="3943" xr:uid="{EF3CEE8B-B7E6-42E5-8927-0D9EBF069504}"/>
    <cellStyle name="Millares 229 4 2" xfId="11511" xr:uid="{32AA4C9E-D54F-4FB7-9E2D-34B15064B22C}"/>
    <cellStyle name="Millares 229 5" xfId="8591" xr:uid="{7A8B380A-B76A-4B21-8E72-C39800AFCF6F}"/>
    <cellStyle name="Millares 23" xfId="252" xr:uid="{8DE01456-07D8-4F0F-A5A6-5B7DA4B656D5}"/>
    <cellStyle name="Millares 23 2" xfId="1102" xr:uid="{E642B3CA-ECB5-4A20-99DA-8E854AF89EE1}"/>
    <cellStyle name="Millares 23 2 2" xfId="4062" xr:uid="{A6700F88-C1DB-4992-A25A-37BBE5FC52AB}"/>
    <cellStyle name="Millares 23 2 2 2" xfId="11630" xr:uid="{664D5142-406D-40A9-A91D-B6D52CDD94B2}"/>
    <cellStyle name="Millares 23 2 3" xfId="8710" xr:uid="{88CF6E12-18A7-4BFC-8338-68F2A9BE6D14}"/>
    <cellStyle name="Millares 23 3" xfId="1466" xr:uid="{ED10238F-6E1A-414E-BB5E-73DCEFD01D46}"/>
    <cellStyle name="Millares 23 3 2" xfId="4426" xr:uid="{51D6792D-82D5-4C7E-852A-D980A06CF058}"/>
    <cellStyle name="Millares 23 3 2 2" xfId="11994" xr:uid="{51ACDF93-6B46-4972-8F91-0D5C658FB33B}"/>
    <cellStyle name="Millares 23 3 3" xfId="9074" xr:uid="{4BC4E17A-22EF-483E-8243-30ECDBAAAABB}"/>
    <cellStyle name="Millares 23 4" xfId="1845" xr:uid="{A41F739F-F871-472B-B948-0069D27ED417}"/>
    <cellStyle name="Millares 23 4 2" xfId="4804" xr:uid="{9BEB4F57-B2F2-4E93-B139-627540D7A217}"/>
    <cellStyle name="Millares 23 4 2 2" xfId="12372" xr:uid="{6863DDB8-77B2-4EEF-B1A8-C9FEA53770FB}"/>
    <cellStyle name="Millares 23 4 3" xfId="9452" xr:uid="{05E2288F-0DCA-463B-8048-E1CC84014C1F}"/>
    <cellStyle name="Millares 23 5" xfId="3531" xr:uid="{22BDE23C-7C49-4BBD-95AC-5D9C1101E866}"/>
    <cellStyle name="Millares 23 5 2" xfId="11099" xr:uid="{E26A5D89-100D-431F-879E-40C51EC46D43}"/>
    <cellStyle name="Millares 23 6" xfId="8179" xr:uid="{4B954E35-E886-432B-9248-7F7BAB5B8B47}"/>
    <cellStyle name="Millares 230" xfId="874" xr:uid="{ADCC06EE-929A-4307-B94A-B6252795DB78}"/>
    <cellStyle name="Millares 230 2" xfId="1049" xr:uid="{2DD42E57-652E-4721-ADEB-EC02F11B1785}"/>
    <cellStyle name="Millares 230 2 2" xfId="4009" xr:uid="{ADC845A4-D127-4C37-8732-733BB1739421}"/>
    <cellStyle name="Millares 230 2 2 2" xfId="11577" xr:uid="{BAEB26D4-16FA-4175-920B-017665E423E9}"/>
    <cellStyle name="Millares 230 2 3" xfId="8657" xr:uid="{412827E8-EF34-49EE-A236-757861D6AD7E}"/>
    <cellStyle name="Millares 230 3" xfId="2259" xr:uid="{86CC7520-D05C-4CC2-8A9E-9920B85117AF}"/>
    <cellStyle name="Millares 230 3 2" xfId="5218" xr:uid="{E5806CA0-5388-4F10-A59D-279460749BFD}"/>
    <cellStyle name="Millares 230 3 2 2" xfId="12786" xr:uid="{BED2FF83-9A9C-46D2-8812-76F632E1879B}"/>
    <cellStyle name="Millares 230 3 3" xfId="9866" xr:uid="{7DDDC0A6-FEDA-4F5C-89AF-2AD7211CC500}"/>
    <cellStyle name="Millares 230 4" xfId="3945" xr:uid="{C79C175A-BF81-41BB-9ACC-FBC3B10A4622}"/>
    <cellStyle name="Millares 230 4 2" xfId="11513" xr:uid="{C1F1CFA8-DE4A-4AA8-8CB8-6C5A49BE51F5}"/>
    <cellStyle name="Millares 230 5" xfId="8593" xr:uid="{6CBE0087-E63B-48DC-AD65-3B2665D8DB1D}"/>
    <cellStyle name="Millares 231" xfId="877" xr:uid="{FDEBF993-2CBB-4930-A23E-1922F88764BE}"/>
    <cellStyle name="Millares 231 2" xfId="2261" xr:uid="{E0F9C68D-6792-41B9-98CE-38723B52E415}"/>
    <cellStyle name="Millares 231 2 2" xfId="5220" xr:uid="{4F372C35-805F-4B96-A0C2-F0A84C823DBA}"/>
    <cellStyle name="Millares 231 2 2 2" xfId="12788" xr:uid="{0474E052-157C-4693-B14C-D96C6B7CC905}"/>
    <cellStyle name="Millares 231 2 3" xfId="9868" xr:uid="{874E3E43-A79D-4EE8-ACC8-A267E8102BD0}"/>
    <cellStyle name="Millares 231 3" xfId="3947" xr:uid="{A861FA51-B4BE-40E1-8560-011019FC418B}"/>
    <cellStyle name="Millares 231 3 2" xfId="11515" xr:uid="{FF447F78-F2E6-412E-AF23-90CB5A494CE3}"/>
    <cellStyle name="Millares 231 4" xfId="8595" xr:uid="{E9B89336-3A8F-4C6A-9262-2C0FA157CAA4}"/>
    <cellStyle name="Millares 232" xfId="880" xr:uid="{8EF612A9-3F5E-4E3A-B8C1-B75529F4185F}"/>
    <cellStyle name="Millares 232 2" xfId="2263" xr:uid="{DA10E94F-082D-490A-89A9-2ACBC6EBED2C}"/>
    <cellStyle name="Millares 232 2 2" xfId="5222" xr:uid="{D080A261-08EA-4DA1-8037-106F6CE7B956}"/>
    <cellStyle name="Millares 232 2 2 2" xfId="12790" xr:uid="{F004FF71-BE7A-434C-9298-3724E5D2EFC2}"/>
    <cellStyle name="Millares 232 2 3" xfId="9870" xr:uid="{D4B17D97-A120-4892-AB91-410B88282D70}"/>
    <cellStyle name="Millares 232 3" xfId="3949" xr:uid="{96135963-5C6D-4F69-AE4D-6245F2614F15}"/>
    <cellStyle name="Millares 232 3 2" xfId="11517" xr:uid="{9A4E3DA5-4A42-4560-9FD5-20C26423273C}"/>
    <cellStyle name="Millares 232 4" xfId="8597" xr:uid="{1D96218D-F0A9-4664-86D5-B20AE9922D8C}"/>
    <cellStyle name="Millares 233" xfId="883" xr:uid="{C636AF80-C10E-4782-B0F2-6061305BF569}"/>
    <cellStyle name="Millares 233 2" xfId="2265" xr:uid="{B2114222-1E7C-4C0E-A939-4CC0C60E258E}"/>
    <cellStyle name="Millares 233 2 2" xfId="5224" xr:uid="{18011D51-FEFF-4EE1-95C7-B1B0FC7510A2}"/>
    <cellStyle name="Millares 233 2 2 2" xfId="12792" xr:uid="{056BB930-1FB4-4A94-A3D8-F3C15542A335}"/>
    <cellStyle name="Millares 233 2 3" xfId="9872" xr:uid="{B85D28AB-F196-4621-9584-D6E10D857431}"/>
    <cellStyle name="Millares 233 3" xfId="3951" xr:uid="{ADDE5834-A2A2-495D-987B-AA60C1B83AC0}"/>
    <cellStyle name="Millares 233 3 2" xfId="11519" xr:uid="{FEB6EC8E-DC6F-4E8F-82BA-80049BBB1ECD}"/>
    <cellStyle name="Millares 233 4" xfId="8599" xr:uid="{BBC03389-8B0A-4D94-8533-A060F9E91A9C}"/>
    <cellStyle name="Millares 234" xfId="886" xr:uid="{AF030E87-C8BD-41AD-B783-B6FA5C72222C}"/>
    <cellStyle name="Millares 234 2" xfId="2267" xr:uid="{5C2D47BE-468A-4DA6-9D48-05A7DCE18BBE}"/>
    <cellStyle name="Millares 234 2 2" xfId="5226" xr:uid="{41F9AD5E-3E0A-46D0-8CB1-3FE3F3C5C833}"/>
    <cellStyle name="Millares 234 2 2 2" xfId="12794" xr:uid="{F23B1566-A790-4EFD-8920-4DB37BAA8AE4}"/>
    <cellStyle name="Millares 234 2 3" xfId="9874" xr:uid="{1F314E1A-B1C0-4520-8FC5-3DAEDAAD7EDC}"/>
    <cellStyle name="Millares 234 3" xfId="3953" xr:uid="{EF28CD48-E522-4A7B-9487-294917E9B2E9}"/>
    <cellStyle name="Millares 234 3 2" xfId="11521" xr:uid="{9E7457EE-F818-4587-B8A4-186CF314228B}"/>
    <cellStyle name="Millares 234 4" xfId="8601" xr:uid="{9C5B8540-D8E7-4DDB-9338-ABEA244E4E3D}"/>
    <cellStyle name="Millares 235" xfId="889" xr:uid="{A8D1965C-83E3-4B19-9536-D3A4D67B35F9}"/>
    <cellStyle name="Millares 235 2" xfId="2269" xr:uid="{4339D963-F945-40DA-939D-6841B862DD02}"/>
    <cellStyle name="Millares 235 2 2" xfId="5228" xr:uid="{9EC5E7ED-4F71-4596-8965-963B874BF4E6}"/>
    <cellStyle name="Millares 235 2 2 2" xfId="12796" xr:uid="{B5E79314-9616-413C-AFB6-35E508F9A69B}"/>
    <cellStyle name="Millares 235 2 3" xfId="9876" xr:uid="{019C0583-E679-4347-89F9-5B3D799805EC}"/>
    <cellStyle name="Millares 235 3" xfId="3955" xr:uid="{2FBDEEB6-D1E0-43D5-AF63-C34D2AAB9795}"/>
    <cellStyle name="Millares 235 3 2" xfId="11523" xr:uid="{19014AD8-05B9-4771-9BBB-98279CC8A256}"/>
    <cellStyle name="Millares 235 4" xfId="8603" xr:uid="{FC2EEE98-C3D5-4612-959C-0597A838FD7C}"/>
    <cellStyle name="Millares 236" xfId="892" xr:uid="{F915EB05-E2E5-4379-A758-438D428D6ED1}"/>
    <cellStyle name="Millares 236 2" xfId="2271" xr:uid="{3C0FA163-E8F8-43D6-87B7-A510CB4C9731}"/>
    <cellStyle name="Millares 236 2 2" xfId="5230" xr:uid="{DACA6888-85AE-4642-9DA1-C0C25D879BF4}"/>
    <cellStyle name="Millares 236 2 2 2" xfId="12798" xr:uid="{97D7A53F-2EF1-415B-AA77-4F6B3BA815DD}"/>
    <cellStyle name="Millares 236 2 3" xfId="9878" xr:uid="{4C678E23-F668-4FA3-B2F7-0DF11361EE3B}"/>
    <cellStyle name="Millares 236 3" xfId="3957" xr:uid="{24C4A6C6-7572-47E0-B2F4-B8F7142CE803}"/>
    <cellStyle name="Millares 236 3 2" xfId="11525" xr:uid="{A66C4C1C-C5D3-433B-83E6-A4DE633133E0}"/>
    <cellStyle name="Millares 236 4" xfId="8605" xr:uid="{4C96D108-B25D-4FE5-A1B5-537F0B2B2061}"/>
    <cellStyle name="Millares 237" xfId="895" xr:uid="{30788ABA-B6E8-4FB5-9E20-96A06491F616}"/>
    <cellStyle name="Millares 237 2" xfId="2273" xr:uid="{7822C358-B700-4F91-94AA-B653CBF82913}"/>
    <cellStyle name="Millares 237 2 2" xfId="5232" xr:uid="{14AAB83C-EA26-495F-88AE-398A40CB30B6}"/>
    <cellStyle name="Millares 237 2 2 2" xfId="12800" xr:uid="{E144311F-D785-4557-8006-FAF139EA3091}"/>
    <cellStyle name="Millares 237 2 3" xfId="9880" xr:uid="{F3B7CE30-6417-4A57-AB27-E2BA3BBF5FF2}"/>
    <cellStyle name="Millares 237 3" xfId="3959" xr:uid="{40796791-3168-45BE-A44F-59D4711DAFDC}"/>
    <cellStyle name="Millares 237 3 2" xfId="11527" xr:uid="{C817D4D7-F8A7-48E3-870D-ECCCF255C102}"/>
    <cellStyle name="Millares 237 4" xfId="8607" xr:uid="{8D31BCA1-E742-4726-AB5B-32A8D11D7662}"/>
    <cellStyle name="Millares 238" xfId="898" xr:uid="{EFD9C899-B414-4C45-BF51-3D22DC23AE54}"/>
    <cellStyle name="Millares 238 2" xfId="2275" xr:uid="{A2343CB4-584F-4109-8311-D124C21DC6C9}"/>
    <cellStyle name="Millares 238 2 2" xfId="5234" xr:uid="{68559CE0-1A80-48AA-AE89-A1811DFA849B}"/>
    <cellStyle name="Millares 238 2 2 2" xfId="12802" xr:uid="{C5100D57-273C-4CF9-8C58-0688447E27D8}"/>
    <cellStyle name="Millares 238 2 3" xfId="9882" xr:uid="{BC154FFC-3BCA-4BAE-B501-DFE978DC8899}"/>
    <cellStyle name="Millares 238 3" xfId="3961" xr:uid="{F2E9725D-E409-4429-BF5F-C72C66846BFD}"/>
    <cellStyle name="Millares 238 3 2" xfId="11529" xr:uid="{5763211D-2F9D-4B0B-AAF4-0597CDF262ED}"/>
    <cellStyle name="Millares 238 4" xfId="8609" xr:uid="{580CA40F-CE43-4355-97BC-8D08E2586B3D}"/>
    <cellStyle name="Millares 239" xfId="901" xr:uid="{5C6B0A64-631C-4F22-85DA-F6AC0091E58A}"/>
    <cellStyle name="Millares 239 2" xfId="2277" xr:uid="{362F7A03-C901-4B25-A4B5-E53550E4584D}"/>
    <cellStyle name="Millares 239 2 2" xfId="5236" xr:uid="{AC429B31-631F-4007-BD98-436B3A0D425B}"/>
    <cellStyle name="Millares 239 2 2 2" xfId="12804" xr:uid="{4969200F-221A-4C2B-A624-AAFFDA0AE28A}"/>
    <cellStyle name="Millares 239 2 3" xfId="9884" xr:uid="{FD50DE70-2418-4C40-99F2-5C654509B1F5}"/>
    <cellStyle name="Millares 239 3" xfId="3963" xr:uid="{82DCD820-6CFE-4B09-8919-971F474B66A0}"/>
    <cellStyle name="Millares 239 3 2" xfId="11531" xr:uid="{38688731-5F32-4DAA-B935-80E155EF61FF}"/>
    <cellStyle name="Millares 239 4" xfId="8611" xr:uid="{D602D1F5-38CE-4816-B863-933BBA81D0A9}"/>
    <cellStyle name="Millares 24" xfId="255" xr:uid="{2DC6D51A-00B8-4443-BF88-7159019F37EB}"/>
    <cellStyle name="Millares 24 2" xfId="1104" xr:uid="{BEAFED01-5875-43AF-A800-E2DAA9A95FCC}"/>
    <cellStyle name="Millares 24 2 2" xfId="4064" xr:uid="{5B722D09-1DAA-4C8F-916D-988C833CC6BA}"/>
    <cellStyle name="Millares 24 2 2 2" xfId="11632" xr:uid="{82CAA003-8F4F-4FB5-9784-2E13D1889149}"/>
    <cellStyle name="Millares 24 2 3" xfId="8712" xr:uid="{2E7D2EE2-D41A-4BD5-9C51-24B3DCF91466}"/>
    <cellStyle name="Millares 24 3" xfId="1468" xr:uid="{616BBDFD-BB8F-4E8F-B1D9-0DAAC4BE4B2A}"/>
    <cellStyle name="Millares 24 3 2" xfId="4428" xr:uid="{719BB604-3989-4F79-8B76-2FF38FBD457B}"/>
    <cellStyle name="Millares 24 3 2 2" xfId="11996" xr:uid="{22E941B9-AA6A-4A05-8ED0-E06C7FA036AB}"/>
    <cellStyle name="Millares 24 3 3" xfId="9076" xr:uid="{66906CD0-A964-4BCE-A47B-1226A3460B15}"/>
    <cellStyle name="Millares 24 4" xfId="1847" xr:uid="{19DAB207-2938-41D2-8127-7BE8B703AF78}"/>
    <cellStyle name="Millares 24 4 2" xfId="4806" xr:uid="{35D74AC0-5A35-4F7A-86F5-5B0050536B51}"/>
    <cellStyle name="Millares 24 4 2 2" xfId="12374" xr:uid="{805D23FC-0BA4-4C21-A7C2-D56649359750}"/>
    <cellStyle name="Millares 24 4 3" xfId="9454" xr:uid="{11AB98C1-0599-4D38-914B-434BC293F9C3}"/>
    <cellStyle name="Millares 24 5" xfId="3533" xr:uid="{D63EC9DE-C84C-4BBF-B58F-2BE6387FF722}"/>
    <cellStyle name="Millares 24 5 2" xfId="11101" xr:uid="{02DB2C59-3FD4-40BA-B14E-846D275E6468}"/>
    <cellStyle name="Millares 24 6" xfId="8181" xr:uid="{5EA3D5D0-CD52-41CF-90BE-50DCA341657F}"/>
    <cellStyle name="Millares 240" xfId="904" xr:uid="{66A3DA47-D47F-4ACF-903A-F070C6F20714}"/>
    <cellStyle name="Millares 240 2" xfId="2279" xr:uid="{8BF52C58-6FB3-4C98-BF74-093DFEE784CD}"/>
    <cellStyle name="Millares 240 2 2" xfId="5238" xr:uid="{72416E91-57BB-47F5-B066-25B227EDCEA3}"/>
    <cellStyle name="Millares 240 2 2 2" xfId="12806" xr:uid="{33184A98-6E4B-4FB3-9C18-9BC4419728FB}"/>
    <cellStyle name="Millares 240 2 3" xfId="9886" xr:uid="{8A83E71A-C875-4464-A6C0-F65ADA2B7CAF}"/>
    <cellStyle name="Millares 240 3" xfId="3965" xr:uid="{516E269A-75D0-4F06-B7A9-5F541E5A2B1A}"/>
    <cellStyle name="Millares 240 3 2" xfId="11533" xr:uid="{FC927357-D6CA-411D-8F0B-F37C1B472552}"/>
    <cellStyle name="Millares 240 4" xfId="8613" xr:uid="{103CB0E4-E2F8-4882-AED0-C5B12F70BBFE}"/>
    <cellStyle name="Millares 241" xfId="907" xr:uid="{683C0906-FC70-4E12-AC5E-73240E49ADE4}"/>
    <cellStyle name="Millares 241 2" xfId="2281" xr:uid="{D7002247-ACD3-45C3-BAE8-C35137FAC196}"/>
    <cellStyle name="Millares 241 2 2" xfId="5240" xr:uid="{8C7C610B-379B-42AF-9EE8-E1E96D4F7DB8}"/>
    <cellStyle name="Millares 241 2 2 2" xfId="12808" xr:uid="{DD52362B-F7D4-49E7-8ECB-7388989A4B15}"/>
    <cellStyle name="Millares 241 2 3" xfId="9888" xr:uid="{3FF63021-D8B0-449D-96EB-D1472DD26135}"/>
    <cellStyle name="Millares 241 3" xfId="3967" xr:uid="{735D6DA4-15C3-4C1E-980E-F9DCE66E5F84}"/>
    <cellStyle name="Millares 241 3 2" xfId="11535" xr:uid="{6B4C2367-E323-4634-A3A3-2E25F6E2AB75}"/>
    <cellStyle name="Millares 241 4" xfId="8615" xr:uid="{2F0ABF29-E9C2-445C-97AE-FD8CECE9135E}"/>
    <cellStyle name="Millares 242" xfId="910" xr:uid="{F1A74124-7F80-4172-859A-E82836D693FE}"/>
    <cellStyle name="Millares 242 2" xfId="2283" xr:uid="{C2E11B00-6A64-4C6C-B19B-B148F992C86A}"/>
    <cellStyle name="Millares 242 2 2" xfId="5242" xr:uid="{5AEC10C2-F1E2-4E47-9BA8-FCC1F26D18D1}"/>
    <cellStyle name="Millares 242 2 2 2" xfId="12810" xr:uid="{67C966B9-4B01-417B-AD7D-E8BFA625C421}"/>
    <cellStyle name="Millares 242 2 3" xfId="9890" xr:uid="{4E6907F8-E378-4217-BA40-E1ECFD86E79E}"/>
    <cellStyle name="Millares 242 3" xfId="3969" xr:uid="{DCA02CB8-F5A6-4E21-AB0D-CFADD9E343DA}"/>
    <cellStyle name="Millares 242 3 2" xfId="11537" xr:uid="{D4A56111-18D7-40D7-BB57-A5865EC924F9}"/>
    <cellStyle name="Millares 242 4" xfId="8617" xr:uid="{CF6AC974-8181-4470-90FA-A04CCE71279D}"/>
    <cellStyle name="Millares 243" xfId="913" xr:uid="{73C44B1C-91DE-4A4D-B488-DFB483EB48C4}"/>
    <cellStyle name="Millares 243 2" xfId="2285" xr:uid="{2E0CA6C0-07CC-4F5F-8DCA-158A09C653FF}"/>
    <cellStyle name="Millares 243 2 2" xfId="5244" xr:uid="{E2BEDB64-42C2-4380-A21B-269DBC3365A4}"/>
    <cellStyle name="Millares 243 2 2 2" xfId="12812" xr:uid="{CB9E5AB8-267F-458F-9A2A-D9648A374E10}"/>
    <cellStyle name="Millares 243 2 3" xfId="9892" xr:uid="{8AD06D6F-DAB8-4A68-99DD-9BCB21509771}"/>
    <cellStyle name="Millares 243 3" xfId="3971" xr:uid="{68597E77-37E0-420E-BF59-731F78E104D1}"/>
    <cellStyle name="Millares 243 3 2" xfId="11539" xr:uid="{526762E0-C4F5-4BAC-B2E3-B7A09EDE8021}"/>
    <cellStyle name="Millares 243 4" xfId="8619" xr:uid="{31F3B3B6-062B-4237-B2DA-BA0EBA5B1F0C}"/>
    <cellStyle name="Millares 244" xfId="916" xr:uid="{87AC5266-8F92-4C88-87CD-614A315D377C}"/>
    <cellStyle name="Millares 244 2" xfId="2287" xr:uid="{0520F7FD-AEDA-42FC-B853-8F49FF1B4DFF}"/>
    <cellStyle name="Millares 244 2 2" xfId="5246" xr:uid="{6F5A619F-7585-44C3-9791-00F8B85B1987}"/>
    <cellStyle name="Millares 244 2 2 2" xfId="12814" xr:uid="{CFED1C85-0D0E-495E-89A5-398A12035B2C}"/>
    <cellStyle name="Millares 244 2 3" xfId="9894" xr:uid="{51270D84-1426-4C4F-9774-3BB7C81D5F7C}"/>
    <cellStyle name="Millares 244 3" xfId="3973" xr:uid="{4AB33A22-B57E-449E-B2CE-CE9DFCECE21B}"/>
    <cellStyle name="Millares 244 3 2" xfId="11541" xr:uid="{2E3B2B4F-C47A-499C-A75D-1418D923137A}"/>
    <cellStyle name="Millares 244 4" xfId="8621" xr:uid="{BEACF2E0-9D56-4141-9960-ACEFA53D4FEF}"/>
    <cellStyle name="Millares 245" xfId="919" xr:uid="{41141FAE-60E3-4D77-8E1A-24D2E4BA5DE4}"/>
    <cellStyle name="Millares 245 2" xfId="2289" xr:uid="{115FBF6D-3132-45FB-AE9F-E83A7CE23F04}"/>
    <cellStyle name="Millares 245 2 2" xfId="5248" xr:uid="{E6A6511E-F690-4EA8-B0DE-E7B3E8432469}"/>
    <cellStyle name="Millares 245 2 2 2" xfId="12816" xr:uid="{586A5B4B-E49D-47BA-ABC2-BA3FACA37530}"/>
    <cellStyle name="Millares 245 2 3" xfId="9896" xr:uid="{5D9D7BAA-26E7-4999-B1E6-31EC11167B8B}"/>
    <cellStyle name="Millares 245 3" xfId="3975" xr:uid="{58E1C13E-E52A-49CA-9FAB-8C4470345BF9}"/>
    <cellStyle name="Millares 245 3 2" xfId="11543" xr:uid="{DADB15EA-9201-4FDD-B382-CB9F14583313}"/>
    <cellStyle name="Millares 245 4" xfId="8623" xr:uid="{9F15C479-9399-4279-B33F-167CB9E3FB07}"/>
    <cellStyle name="Millares 246" xfId="921" xr:uid="{133951A4-8792-4A4F-A678-5DA449C1059F}"/>
    <cellStyle name="Millares 246 2" xfId="1040" xr:uid="{D84A8279-8D01-4BEF-BD51-10976053D698}"/>
    <cellStyle name="Millares 246 2 2" xfId="4004" xr:uid="{1452A400-52A4-4A57-BB5C-DDD071B1FFC8}"/>
    <cellStyle name="Millares 246 2 2 2" xfId="11572" xr:uid="{ED0375B4-A989-4743-A018-194957C494A4}"/>
    <cellStyle name="Millares 246 2 3" xfId="8652" xr:uid="{FAA6DA57-5B5E-4CBA-A474-42572D28A245}"/>
    <cellStyle name="Millares 246 3" xfId="1038" xr:uid="{B83C0B41-F8D8-4C61-91D6-802806AFD799}"/>
    <cellStyle name="Millares 246 3 2" xfId="4003" xr:uid="{01BB2859-61F1-44A9-9758-203D548EDA56}"/>
    <cellStyle name="Millares 246 3 2 2" xfId="11571" xr:uid="{CB3DAE9E-9568-469F-B72A-A6BF52CAA71F}"/>
    <cellStyle name="Millares 246 3 3" xfId="8651" xr:uid="{A9D1EDF2-BFE9-451A-B251-21482215FF43}"/>
    <cellStyle name="Millares 246 4" xfId="2291" xr:uid="{C232344B-A0DE-45E8-8FBE-C232346C6165}"/>
    <cellStyle name="Millares 246 4 2" xfId="5250" xr:uid="{AE584613-386D-493E-BAF2-C259F3413907}"/>
    <cellStyle name="Millares 246 4 2 2" xfId="12818" xr:uid="{84EAD309-DA5B-4B6E-B52D-3F062D30C7C5}"/>
    <cellStyle name="Millares 246 4 3" xfId="9898" xr:uid="{E7149A23-36C0-4820-86DF-B9E830092531}"/>
    <cellStyle name="Millares 246 5" xfId="3977" xr:uid="{4DADFC64-94AD-4D75-BB9F-09CFBCF34223}"/>
    <cellStyle name="Millares 246 5 2" xfId="11545" xr:uid="{D9289262-1703-455C-A3F6-7DB2D59042C6}"/>
    <cellStyle name="Millares 246 6" xfId="8625" xr:uid="{DA391FB0-45D8-43F5-B4DC-E23E5ED206AD}"/>
    <cellStyle name="Millares 247" xfId="1042" xr:uid="{53FC1585-7E3E-4F8B-AA9F-BA01EA6B1048}"/>
    <cellStyle name="Millares 247 2" xfId="2293" xr:uid="{F1B3FD86-EC75-4C7D-9D9E-9DC1E5725422}"/>
    <cellStyle name="Millares 247 2 2" xfId="5252" xr:uid="{FAC37B04-F011-4B1F-ABAC-DEF05E55F4A6}"/>
    <cellStyle name="Millares 247 2 2 2" xfId="12820" xr:uid="{CCFE75CD-254A-4680-815F-C2469B99DB71}"/>
    <cellStyle name="Millares 247 2 3" xfId="9900" xr:uid="{E39AC579-0128-45D5-9C44-E14834046E8D}"/>
    <cellStyle name="Millares 247 3" xfId="4005" xr:uid="{EB76A0E2-D5C0-45C3-B4DA-8E46FB454E58}"/>
    <cellStyle name="Millares 247 3 2" xfId="11573" xr:uid="{7EE2D45D-084B-413A-BBE9-23BDED3EFDEA}"/>
    <cellStyle name="Millares 247 4" xfId="8653" xr:uid="{F48E27E2-740A-45A0-9D58-3D42E554F876}"/>
    <cellStyle name="Millares 248" xfId="1057" xr:uid="{721F0029-BC33-46BF-AF26-FBF30C88EA43}"/>
    <cellStyle name="Millares 248 2" xfId="2296" xr:uid="{3840DCDE-F222-4979-9B1B-0FD11AB22EA8}"/>
    <cellStyle name="Millares 248 2 2" xfId="5254" xr:uid="{3F286446-8989-4E28-ABA0-CB3F4EE46150}"/>
    <cellStyle name="Millares 248 2 2 2" xfId="12822" xr:uid="{F00595B4-59A2-4844-9B4A-CEE26016E967}"/>
    <cellStyle name="Millares 248 2 3" xfId="9902" xr:uid="{62D55785-8DFB-48E5-97CD-DF542172A3A4}"/>
    <cellStyle name="Millares 248 3" xfId="4017" xr:uid="{3D8AC56E-D989-4506-A0A0-B014E3A1DDFA}"/>
    <cellStyle name="Millares 248 3 2" xfId="11585" xr:uid="{3C42F61C-896F-4AAC-A3BF-81694AD39589}"/>
    <cellStyle name="Millares 248 4" xfId="8665" xr:uid="{DFEE1B8A-E416-41FE-A474-D381523ED8AB}"/>
    <cellStyle name="Millares 249" xfId="1421" xr:uid="{0125948E-C01C-48A5-A8C2-31630C39F330}"/>
    <cellStyle name="Millares 249 2" xfId="2299" xr:uid="{EC25C530-AC42-4D31-9E3B-FCE694233E6C}"/>
    <cellStyle name="Millares 249 2 2" xfId="5256" xr:uid="{3D439BCC-C921-4F23-A8BA-72FD829B1B5A}"/>
    <cellStyle name="Millares 249 2 2 2" xfId="12824" xr:uid="{2F1EADD5-AFE9-4D66-B1A4-50FA48541D48}"/>
    <cellStyle name="Millares 249 2 3" xfId="9904" xr:uid="{C315AFAA-D7FB-42F0-88DA-A03A1FCC467D}"/>
    <cellStyle name="Millares 249 3" xfId="4381" xr:uid="{E91CC59D-6D64-403C-8767-CC3F6C298F2C}"/>
    <cellStyle name="Millares 249 3 2" xfId="11949" xr:uid="{6837DB3C-0F68-4AEF-A659-AC300E596AF8}"/>
    <cellStyle name="Millares 249 4" xfId="9029" xr:uid="{00D0774D-6C57-4E6A-83A3-7CEE2E08025A}"/>
    <cellStyle name="Millares 25" xfId="258" xr:uid="{09B7D4F4-CB32-41C7-84A2-BFA7AD3EB7F4}"/>
    <cellStyle name="Millares 25 2" xfId="1106" xr:uid="{9BA2645B-E8DB-4C6F-ADBC-8A5D8F70C8A5}"/>
    <cellStyle name="Millares 25 2 2" xfId="4066" xr:uid="{E2583E64-EAAA-4707-A31B-EAD203C1A98B}"/>
    <cellStyle name="Millares 25 2 2 2" xfId="11634" xr:uid="{CD8E0F16-DB6D-41B6-967C-4F76C5BE9F06}"/>
    <cellStyle name="Millares 25 2 3" xfId="8714" xr:uid="{C79AEC45-4656-4CCE-B863-3B91C082D042}"/>
    <cellStyle name="Millares 25 3" xfId="1470" xr:uid="{D2523860-03FC-425C-A8D4-F7F87C70AA7C}"/>
    <cellStyle name="Millares 25 3 2" xfId="4430" xr:uid="{78FD7114-C727-4249-8FBF-91985CA89F74}"/>
    <cellStyle name="Millares 25 3 2 2" xfId="11998" xr:uid="{9BC48EEF-EC86-4740-AF85-1E3A19426C90}"/>
    <cellStyle name="Millares 25 3 3" xfId="9078" xr:uid="{4BD2F5A0-926C-46E7-8FC0-0833EDACC128}"/>
    <cellStyle name="Millares 25 4" xfId="1849" xr:uid="{25FE368E-97FB-4388-A6A4-A1FE648C7A55}"/>
    <cellStyle name="Millares 25 4 2" xfId="4808" xr:uid="{1FABB736-CFF2-4381-BDCE-B7E7E9358E01}"/>
    <cellStyle name="Millares 25 4 2 2" xfId="12376" xr:uid="{5F61794C-0CBD-4C0B-8F60-3356E6AA0C83}"/>
    <cellStyle name="Millares 25 4 3" xfId="9456" xr:uid="{E68B8471-1104-4E91-9D4E-570D0365F384}"/>
    <cellStyle name="Millares 25 5" xfId="3535" xr:uid="{BCA8796C-5E9D-46DF-88F0-96B6717EB0A2}"/>
    <cellStyle name="Millares 25 5 2" xfId="11103" xr:uid="{FA799FC1-B8F7-419B-B4D7-0C13F8499A87}"/>
    <cellStyle name="Millares 25 6" xfId="8183" xr:uid="{34CB93D8-A6C5-40DF-BC47-62FBC92FFDF7}"/>
    <cellStyle name="Millares 250" xfId="2303" xr:uid="{63C50C6D-0D9C-43C1-8412-D8FF7B94A930}"/>
    <cellStyle name="Millares 250 2" xfId="5259" xr:uid="{D3ACD537-C4F2-453E-BEED-2CFE08FBF221}"/>
    <cellStyle name="Millares 250 2 2" xfId="12827" xr:uid="{42DBC605-31F5-4BF7-A447-153DF96F8AA1}"/>
    <cellStyle name="Millares 250 3" xfId="9907" xr:uid="{2E882F6F-1D42-4D01-AF40-A8C73F170369}"/>
    <cellStyle name="Millares 251" xfId="2301" xr:uid="{7119FC93-8BD7-4EC0-A954-658330FDFCB5}"/>
    <cellStyle name="Millares 251 2" xfId="5258" xr:uid="{91AF1ED2-91CD-4795-95AF-5DD343E8BA15}"/>
    <cellStyle name="Millares 251 2 2" xfId="12826" xr:uid="{F8D22DAE-386C-4B51-B922-86B270B421A3}"/>
    <cellStyle name="Millares 251 3" xfId="5276" xr:uid="{AC6C7232-792F-4614-A52E-26171AAA0E66}"/>
    <cellStyle name="Millares 251 3 2" xfId="12838" xr:uid="{3706ACA2-A965-4CEB-82E8-CB9A0A650EF3}"/>
    <cellStyle name="Millares 251 4" xfId="9906" xr:uid="{95A5F5A2-C556-47A6-827E-9ED02506EF15}"/>
    <cellStyle name="Millares 252" xfId="2337" xr:uid="{E7E59EDB-782E-4736-9067-3B7BE0C3A7C1}"/>
    <cellStyle name="Millares 252 2" xfId="5274" xr:uid="{28EAF409-04F0-4D3C-9D4D-2CF3DDCC5D03}"/>
    <cellStyle name="Millares 252 2 2" xfId="12837" xr:uid="{500CBB19-4750-4C59-BDEF-357EE38E33AB}"/>
    <cellStyle name="Millares 252 3" xfId="9933" xr:uid="{548F7AA3-F8F8-4714-A64A-04831FF7FD57}"/>
    <cellStyle name="Millares 253" xfId="4015" xr:uid="{E5E3BF8F-2A59-44AC-A830-FD81FE6CF129}"/>
    <cellStyle name="Millares 253 2" xfId="11583" xr:uid="{AF0FAD62-BDAA-4D02-9FE1-CA5C2FAE1AF8}"/>
    <cellStyle name="Millares 254" xfId="5271" xr:uid="{79DE1D56-0CD3-4DE4-A123-093DF6599D6C}"/>
    <cellStyle name="Millares 254 2" xfId="12836" xr:uid="{D7C182E7-774A-4D91-9262-EC64D8456E39}"/>
    <cellStyle name="Millares 255" xfId="5269" xr:uid="{AB815E3B-52A9-4361-922A-3A644CD6DD11}"/>
    <cellStyle name="Millares 255 2" xfId="12835" xr:uid="{03774144-34AD-4E44-8EAE-5DCBF342191B}"/>
    <cellStyle name="Millares 256" xfId="5267" xr:uid="{46E92ADB-5752-441E-AB85-51FE13F3C2C9}"/>
    <cellStyle name="Millares 256 2" xfId="12834" xr:uid="{CF3C08F7-DF69-4AD6-9E4F-BC782298CDA7}"/>
    <cellStyle name="Millares 257" xfId="5265" xr:uid="{1DD76B1C-46B4-4B1E-8B9D-872BFA896651}"/>
    <cellStyle name="Millares 257 2" xfId="12833" xr:uid="{3C778772-E8FD-4AF5-8E47-0F7AEE18EC90}"/>
    <cellStyle name="Millares 258" xfId="5355" xr:uid="{0B920569-20E0-4965-9BC5-D0B3E178D45D}"/>
    <cellStyle name="Millares 258 2" xfId="12916" xr:uid="{B4A1B74B-C080-4607-85A3-FDCAD4B75D73}"/>
    <cellStyle name="Millares 259" xfId="6759" xr:uid="{FA109037-AC96-40DF-B54A-E2023038D9E5}"/>
    <cellStyle name="Millares 259 2" xfId="14288" xr:uid="{CDE96161-71E2-4276-954A-434F136EE9DA}"/>
    <cellStyle name="Millares 26" xfId="261" xr:uid="{5A2F2408-9902-478A-B6C2-658552866476}"/>
    <cellStyle name="Millares 26 2" xfId="1108" xr:uid="{A01F042A-0FC1-4BF7-8221-3B7C57020515}"/>
    <cellStyle name="Millares 26 2 2" xfId="4068" xr:uid="{3F26FBDB-7A2B-48B4-85D3-9292979A6F0B}"/>
    <cellStyle name="Millares 26 2 2 2" xfId="11636" xr:uid="{FECEAD63-E141-4822-B86D-34FA2256032A}"/>
    <cellStyle name="Millares 26 2 3" xfId="8716" xr:uid="{51AAE979-92BB-4E2E-9196-E19214D946DE}"/>
    <cellStyle name="Millares 26 3" xfId="1472" xr:uid="{08095F14-9BC2-4220-83CE-376CA558D060}"/>
    <cellStyle name="Millares 26 3 2" xfId="4432" xr:uid="{08D7B470-33AB-46B0-9FBB-1FBA95C0A6D7}"/>
    <cellStyle name="Millares 26 3 2 2" xfId="12000" xr:uid="{6807EEC3-E18C-4961-9201-268EF269EAC6}"/>
    <cellStyle name="Millares 26 3 3" xfId="9080" xr:uid="{0E4BF7EA-7AA8-4C4A-BD7F-CABCFE96B806}"/>
    <cellStyle name="Millares 26 4" xfId="1851" xr:uid="{88C201F7-6827-491D-9161-E706166BD86D}"/>
    <cellStyle name="Millares 26 4 2" xfId="4810" xr:uid="{F9647368-ED77-4C57-8E8E-C83D7E9738AF}"/>
    <cellStyle name="Millares 26 4 2 2" xfId="12378" xr:uid="{00B1709E-59AB-4CDF-9283-59B8CBB6947E}"/>
    <cellStyle name="Millares 26 4 3" xfId="9458" xr:uid="{5E671681-3BC0-4E7A-BA32-9048795E5F80}"/>
    <cellStyle name="Millares 26 5" xfId="3537" xr:uid="{870022DC-8C25-4A7C-AC83-1B6FE1349CD6}"/>
    <cellStyle name="Millares 26 5 2" xfId="11105" xr:uid="{65BC99B4-5E4D-4793-84F6-F70BE630CF5D}"/>
    <cellStyle name="Millares 26 6" xfId="8185" xr:uid="{69B1C107-A4FA-476A-B640-D12C44A726F0}"/>
    <cellStyle name="Millares 260" xfId="8107" xr:uid="{E4089A11-8435-4C85-BFE9-F26F329D03AC}"/>
    <cellStyle name="Millares 260 2" xfId="15632" xr:uid="{171B5850-5E6A-4495-AE82-C309A8B08E6A}"/>
    <cellStyle name="Millares 261" xfId="1055" xr:uid="{08CD1E41-FE52-457F-8F82-E88D202CA41D}"/>
    <cellStyle name="Millares 262" xfId="8663" xr:uid="{A67257DE-2B90-4B8F-B8FA-1E6377C6B88D}"/>
    <cellStyle name="Millares 27" xfId="264" xr:uid="{DB8656DE-3D3B-4410-9155-8D2FB971CD2B}"/>
    <cellStyle name="Millares 27 2" xfId="1110" xr:uid="{A5C73026-EDCE-4B29-84EF-893D17B49339}"/>
    <cellStyle name="Millares 27 2 2" xfId="4070" xr:uid="{FB67D23A-DFD4-4149-9A38-9D5153325597}"/>
    <cellStyle name="Millares 27 2 2 2" xfId="11638" xr:uid="{33F3A7FC-BD98-401B-B29A-9F045767C0A2}"/>
    <cellStyle name="Millares 27 2 3" xfId="8718" xr:uid="{B0609AFE-1FA2-445B-A175-304B33E3DA3F}"/>
    <cellStyle name="Millares 27 3" xfId="1474" xr:uid="{9277B243-AF51-4CA0-B52A-68EFCCD3AF1D}"/>
    <cellStyle name="Millares 27 3 2" xfId="4434" xr:uid="{A22DEA87-3290-4917-9C5D-ED97B0387309}"/>
    <cellStyle name="Millares 27 3 2 2" xfId="12002" xr:uid="{B53622A3-6A25-489A-BBB9-14F158F66557}"/>
    <cellStyle name="Millares 27 3 3" xfId="9082" xr:uid="{9B2552D3-FEFF-4AB5-B721-12AAA9F4EBFE}"/>
    <cellStyle name="Millares 27 4" xfId="1853" xr:uid="{E1E33FB8-7B47-4C18-855C-5762885FD912}"/>
    <cellStyle name="Millares 27 4 2" xfId="4812" xr:uid="{946C28AC-89FD-4BAE-901E-500485DC96B0}"/>
    <cellStyle name="Millares 27 4 2 2" xfId="12380" xr:uid="{7171D662-3AAF-4FF3-A75B-1070D55EFD95}"/>
    <cellStyle name="Millares 27 4 3" xfId="9460" xr:uid="{CCD98AF6-5F31-412E-8EF0-EB7D1F8ADA8D}"/>
    <cellStyle name="Millares 27 5" xfId="3539" xr:uid="{AEF9872F-AE86-4724-BB23-CF6EECC6D049}"/>
    <cellStyle name="Millares 27 5 2" xfId="11107" xr:uid="{69BA1C11-E014-4E05-9F96-4B57062107D0}"/>
    <cellStyle name="Millares 27 6" xfId="8187" xr:uid="{AC15C0A6-6343-422F-B233-72715A7F1A46}"/>
    <cellStyle name="Millares 28" xfId="267" xr:uid="{91F9803D-84C4-42D8-AB30-DDBB13833D3C}"/>
    <cellStyle name="Millares 28 2" xfId="1112" xr:uid="{F50109DA-E41F-457F-ABEA-E469C54AE129}"/>
    <cellStyle name="Millares 28 2 2" xfId="4072" xr:uid="{47EDB30F-F735-4C64-8055-41A9ABC092DE}"/>
    <cellStyle name="Millares 28 2 2 2" xfId="11640" xr:uid="{DC129C30-290F-43F8-A317-B3327059691D}"/>
    <cellStyle name="Millares 28 2 3" xfId="8720" xr:uid="{C0769076-AFFF-4F68-9BEE-DD5C040C4064}"/>
    <cellStyle name="Millares 28 3" xfId="1476" xr:uid="{4390D24F-1CEE-4FF3-BCD0-402AA34F0EB4}"/>
    <cellStyle name="Millares 28 3 2" xfId="4436" xr:uid="{65F18F58-604D-4CDF-87E1-D7619873D2BE}"/>
    <cellStyle name="Millares 28 3 2 2" xfId="12004" xr:uid="{7D3BD2A9-2BF8-4FC7-97BF-49C39F34FB2E}"/>
    <cellStyle name="Millares 28 3 3" xfId="9084" xr:uid="{DA4C6E0B-FEC9-4D8F-AF6D-02F65A29C429}"/>
    <cellStyle name="Millares 28 4" xfId="1855" xr:uid="{F5EF0C7E-CA50-4622-8362-8C06BB109423}"/>
    <cellStyle name="Millares 28 4 2" xfId="4814" xr:uid="{97C54965-F413-4A4F-93FC-BD02FB05E7C7}"/>
    <cellStyle name="Millares 28 4 2 2" xfId="12382" xr:uid="{71F7C7F1-2006-4E07-B86B-F4134F520FEF}"/>
    <cellStyle name="Millares 28 4 3" xfId="9462" xr:uid="{D01AFE9E-2223-4267-AC04-592664A00E9D}"/>
    <cellStyle name="Millares 28 5" xfId="3541" xr:uid="{D57CEEBA-32A9-44C7-8980-70E3F06DFA66}"/>
    <cellStyle name="Millares 28 5 2" xfId="11109" xr:uid="{27384B78-4127-4FE7-8B37-E19FBD4BAD0F}"/>
    <cellStyle name="Millares 28 6" xfId="8189" xr:uid="{53D07C79-606C-4577-81A3-B146E40FA3D8}"/>
    <cellStyle name="Millares 29" xfId="270" xr:uid="{2EF0AC00-CB30-4A00-B41D-89FFD6EB864E}"/>
    <cellStyle name="Millares 29 2" xfId="1114" xr:uid="{D8BC2762-7E6C-4B3F-8115-3A47EA2E1ED6}"/>
    <cellStyle name="Millares 29 2 2" xfId="4074" xr:uid="{C0532475-56E8-4B36-AB64-27974AA54A1E}"/>
    <cellStyle name="Millares 29 2 2 2" xfId="11642" xr:uid="{CF00CD93-0B16-447D-860F-E35DA6E01057}"/>
    <cellStyle name="Millares 29 2 3" xfId="8722" xr:uid="{656ACAB3-858A-438F-B72C-8193773DB022}"/>
    <cellStyle name="Millares 29 3" xfId="1478" xr:uid="{5A0EE695-BDD9-4373-B434-C63CD7848F3F}"/>
    <cellStyle name="Millares 29 3 2" xfId="4438" xr:uid="{C97FAF2C-13B0-45CF-8621-BF40C5E558CB}"/>
    <cellStyle name="Millares 29 3 2 2" xfId="12006" xr:uid="{55BC9B35-92B9-453E-B352-85DD785E6B4B}"/>
    <cellStyle name="Millares 29 3 3" xfId="9086" xr:uid="{222EA017-AE44-4ED6-9104-954D099DF10F}"/>
    <cellStyle name="Millares 29 4" xfId="1857" xr:uid="{CA1308B6-D85E-44AA-B643-F80EC91BA2C8}"/>
    <cellStyle name="Millares 29 4 2" xfId="4816" xr:uid="{175F47BA-2C57-4A4F-9686-0156CB3A1A3D}"/>
    <cellStyle name="Millares 29 4 2 2" xfId="12384" xr:uid="{4FD81F9E-9EF1-4FEC-BEC2-17BBD2E2B0B5}"/>
    <cellStyle name="Millares 29 4 3" xfId="9464" xr:uid="{1594384D-242A-4E11-855C-33C976D5C690}"/>
    <cellStyle name="Millares 29 5" xfId="3543" xr:uid="{E72DB56D-73F6-4D68-9E09-8F84E86002BA}"/>
    <cellStyle name="Millares 29 5 2" xfId="11111" xr:uid="{19E4BE73-AE38-4C46-A50E-46875A8960D4}"/>
    <cellStyle name="Millares 29 6" xfId="8191" xr:uid="{9616A2EE-4EB0-4AB3-99CC-E2DE609609AE}"/>
    <cellStyle name="Millares 3" xfId="163" xr:uid="{309AF7D1-70AD-4210-A3B9-B160147DA5DC}"/>
    <cellStyle name="Millares 3 10" xfId="3214" xr:uid="{C6D21140-A3D7-4C8F-9D1D-4F0E8820C2A1}"/>
    <cellStyle name="Millares 3 10 2" xfId="6218" xr:uid="{56FA771A-59D8-4733-B96E-2159E6674F4E}"/>
    <cellStyle name="Millares 3 10 2 2" xfId="13779" xr:uid="{22D15310-9A4E-4E25-A76D-B4887E42F1DF}"/>
    <cellStyle name="Millares 3 10 3" xfId="7622" xr:uid="{B5A5BAD6-772D-4E7C-80AE-8C3800BD3D30}"/>
    <cellStyle name="Millares 3 10 3 2" xfId="15151" xr:uid="{C234AA3E-8D09-4FAD-9218-7D91ECD064C9}"/>
    <cellStyle name="Millares 3 10 4" xfId="10796" xr:uid="{75D3DD93-6B3D-4D6B-AC2E-A1B54D759F05}"/>
    <cellStyle name="Millares 3 11" xfId="3342" xr:uid="{16027F46-E12B-47F2-85E2-19C7C86BA1A8}"/>
    <cellStyle name="Millares 3 11 2" xfId="6344" xr:uid="{50F568A5-71A1-4E8C-BF0D-E286A813B480}"/>
    <cellStyle name="Millares 3 11 2 2" xfId="13905" xr:uid="{55EF3852-5FC3-4B0C-9D15-B5046B1DC3FE}"/>
    <cellStyle name="Millares 3 11 3" xfId="7748" xr:uid="{69A07A9B-8FAB-4B2E-9DE2-60A1C6221019}"/>
    <cellStyle name="Millares 3 11 3 2" xfId="15277" xr:uid="{0F6F9FE4-F831-4250-9744-6A950F27531F}"/>
    <cellStyle name="Millares 3 11 4" xfId="10922" xr:uid="{06B300A7-AA40-4247-951A-ACDBC8D331FE}"/>
    <cellStyle name="Millares 3 12" xfId="2341" xr:uid="{85686B92-2C57-42B0-B907-D67D1BB80711}"/>
    <cellStyle name="Millares 3 12 2" xfId="6480" xr:uid="{76ADB347-C55B-4767-B496-A74C2C685D23}"/>
    <cellStyle name="Millares 3 12 2 2" xfId="14036" xr:uid="{61AAF8B0-8323-4124-84FB-4E5E9DC5E7DD}"/>
    <cellStyle name="Millares 3 12 3" xfId="7879" xr:uid="{03F4C674-EB79-4731-BA9A-C1C8C82CFB08}"/>
    <cellStyle name="Millares 3 12 3 2" xfId="15408" xr:uid="{563C1D1C-6181-421A-A6E9-FB0619D5B009}"/>
    <cellStyle name="Millares 3 12 4" xfId="9937" xr:uid="{9115FFAE-7C4C-4984-8414-BB951021FC9A}"/>
    <cellStyle name="Millares 3 13" xfId="3472" xr:uid="{6D631D48-601C-45EA-95B6-F20064820EAE}"/>
    <cellStyle name="Millares 3 13 2" xfId="11040" xr:uid="{46A24C77-3641-4263-AB98-C1B64D54AEC1}"/>
    <cellStyle name="Millares 3 14" xfId="5359" xr:uid="{A2C82384-75BF-4989-9116-4AF4C6699EA5}"/>
    <cellStyle name="Millares 3 14 2" xfId="12920" xr:uid="{D46FE805-523F-439F-AF66-33937BCAEDB8}"/>
    <cellStyle name="Millares 3 15" xfId="6763" xr:uid="{EF0A9154-1D37-40F5-97E8-1E48068FD871}"/>
    <cellStyle name="Millares 3 15 2" xfId="14292" xr:uid="{3F556B6A-BD91-48C7-84A8-9605598C2379}"/>
    <cellStyle name="Millares 3 16" xfId="8120" xr:uid="{B148B848-CD9F-40B5-AC9D-01A3B50B2366}"/>
    <cellStyle name="Millares 3 2" xfId="198" xr:uid="{3A9B357D-31F6-44E4-9DE1-AD926020AFFB}"/>
    <cellStyle name="Millares 3 2 10" xfId="3372" xr:uid="{153FF39C-1D6D-4B52-822F-E8738E1A3FAD}"/>
    <cellStyle name="Millares 3 2 10 2" xfId="6374" xr:uid="{6AA3FDB3-BFDF-4B87-A3EB-7459FB0CC43D}"/>
    <cellStyle name="Millares 3 2 10 2 2" xfId="13935" xr:uid="{180F87D4-DEE3-40DB-AA92-4432131FB719}"/>
    <cellStyle name="Millares 3 2 10 3" xfId="7778" xr:uid="{1D0F1683-7175-44D5-9F1D-3C8A5297180C}"/>
    <cellStyle name="Millares 3 2 10 3 2" xfId="15307" xr:uid="{C0D0C70D-6D6D-4314-BB40-EF5132521FB3}"/>
    <cellStyle name="Millares 3 2 10 4" xfId="10952" xr:uid="{E6C343BB-AB6A-41FF-B583-E95EDDC0DEC2}"/>
    <cellStyle name="Millares 3 2 11" xfId="2377" xr:uid="{7C78EBBA-5E5F-48E7-B3F4-4DA2D159ADAE}"/>
    <cellStyle name="Millares 3 2 11 2" xfId="6510" xr:uid="{90A1A971-6E33-46C5-B29A-C812C3DB1CCA}"/>
    <cellStyle name="Millares 3 2 11 2 2" xfId="14066" xr:uid="{E8CF893E-58F9-4750-8B93-36E20C2A32D1}"/>
    <cellStyle name="Millares 3 2 11 3" xfId="7909" xr:uid="{43FDB3B8-C648-4DD6-88DC-73EA26992428}"/>
    <cellStyle name="Millares 3 2 11 3 2" xfId="15438" xr:uid="{A42FAB97-4699-4827-9416-A4F4C57DB4BE}"/>
    <cellStyle name="Millares 3 2 11 4" xfId="9967" xr:uid="{C2E43D29-87A9-4DC6-9FF4-61BE778A3105}"/>
    <cellStyle name="Millares 3 2 12" xfId="3497" xr:uid="{9023719A-211E-4D6E-BA00-CF923FBB4EB0}"/>
    <cellStyle name="Millares 3 2 12 2" xfId="11065" xr:uid="{B4A1D6BC-DECF-422D-A93D-6CA706EB76DC}"/>
    <cellStyle name="Millares 3 2 13" xfId="5389" xr:uid="{B12A61D6-1F04-458C-83D2-DE687C6AFCF1}"/>
    <cellStyle name="Millares 3 2 13 2" xfId="12950" xr:uid="{B5D32EC5-4DED-4418-A3E4-B92FC0347382}"/>
    <cellStyle name="Millares 3 2 14" xfId="6793" xr:uid="{DAE2919C-79C9-4450-89C6-272ECE772DD8}"/>
    <cellStyle name="Millares 3 2 14 2" xfId="14322" xr:uid="{0CCCA2C0-BA95-482F-9473-26030CD1E8D8}"/>
    <cellStyle name="Millares 3 2 15" xfId="8145" xr:uid="{ADFFF5F3-C327-417B-A888-4709BB21FFAE}"/>
    <cellStyle name="Millares 3 2 2" xfId="2437" xr:uid="{580D17BE-5331-45E4-AA31-62050EEA9612}"/>
    <cellStyle name="Millares 3 2 2 10" xfId="6568" xr:uid="{FBC9D3B5-11D1-41D7-8DA0-FEC54E86651F}"/>
    <cellStyle name="Millares 3 2 2 10 2" xfId="7967" xr:uid="{9211F2D2-C811-4C4B-87D8-F6BFD96142E7}"/>
    <cellStyle name="Millares 3 2 2 10 2 2" xfId="15496" xr:uid="{822CE2B5-E195-48C3-A782-A678FA01FE5C}"/>
    <cellStyle name="Millares 3 2 2 10 3" xfId="14124" xr:uid="{C7AECF8F-DCE6-4946-8FC6-83E7CEEB37A7}"/>
    <cellStyle name="Millares 3 2 2 11" xfId="5447" xr:uid="{7B921E00-6979-4D9C-B45F-C38616FAE572}"/>
    <cellStyle name="Millares 3 2 2 11 2" xfId="13008" xr:uid="{7CC06738-32EC-4D3B-BB85-08EE0C0E0FFF}"/>
    <cellStyle name="Millares 3 2 2 12" xfId="6851" xr:uid="{E626DF0A-C688-4F7B-9416-7150AC62B58C}"/>
    <cellStyle name="Millares 3 2 2 12 2" xfId="14380" xr:uid="{82C2A810-BB9B-40FB-AC4B-33D7B3C09E4A}"/>
    <cellStyle name="Millares 3 2 2 13" xfId="10025" xr:uid="{42843D8D-7E7A-44A3-AE34-FDA59940DEC9}"/>
    <cellStyle name="Millares 3 2 2 2" xfId="2561" xr:uid="{87E82B19-2D71-4407-AE03-9CDF079828ED}"/>
    <cellStyle name="Millares 3 2 2 2 2" xfId="6703" xr:uid="{3EB672B6-2FE1-41F0-A225-143E8994B803}"/>
    <cellStyle name="Millares 3 2 2 2 2 2" xfId="8089" xr:uid="{A1526DF1-E1A6-465B-AF10-AF61D1DC8FFD}"/>
    <cellStyle name="Millares 3 2 2 2 2 2 2" xfId="15618" xr:uid="{37B54723-37C3-4F53-893E-BED9FB9F332B}"/>
    <cellStyle name="Millares 3 2 2 2 2 3" xfId="14246" xr:uid="{34C850EA-140E-462B-9A93-7928568DAC1A}"/>
    <cellStyle name="Millares 3 2 2 2 3" xfId="5567" xr:uid="{EA2FC5DE-56E5-45C1-9831-C1FE140B9A9D}"/>
    <cellStyle name="Millares 3 2 2 2 3 2" xfId="13128" xr:uid="{AD113789-531A-4D67-B7D3-D512238EF588}"/>
    <cellStyle name="Millares 3 2 2 2 4" xfId="6971" xr:uid="{FA7BF513-DCD3-4D29-9B86-AAFD567D9A6E}"/>
    <cellStyle name="Millares 3 2 2 2 4 2" xfId="14500" xr:uid="{36B3A1CF-6C38-4D35-BDBA-85349698639B}"/>
    <cellStyle name="Millares 3 2 2 2 5" xfId="10145" xr:uid="{25073C56-7391-48B0-806D-468727C76606}"/>
    <cellStyle name="Millares 3 2 2 3" xfId="2682" xr:uid="{468455EF-8F07-4D7C-AF33-78914E6AAE7A}"/>
    <cellStyle name="Millares 3 2 2 3 2" xfId="5687" xr:uid="{3F22C7BC-7228-4341-AF6B-1B94A906CC5B}"/>
    <cellStyle name="Millares 3 2 2 3 2 2" xfId="13248" xr:uid="{06A3842C-9A06-46C8-829C-1164A8A372E6}"/>
    <cellStyle name="Millares 3 2 2 3 3" xfId="7091" xr:uid="{0B370451-3266-4B67-BD9B-1345700BDBED}"/>
    <cellStyle name="Millares 3 2 2 3 3 2" xfId="14620" xr:uid="{8348CCE4-AA36-47F6-986C-206D5816BDA7}"/>
    <cellStyle name="Millares 3 2 2 3 4" xfId="10265" xr:uid="{1EB2709C-2A8E-410C-97D0-A0EA24118510}"/>
    <cellStyle name="Millares 3 2 2 4" xfId="2804" xr:uid="{27AD1FD5-C806-4870-8B59-3C0AD379F5C0}"/>
    <cellStyle name="Millares 3 2 2 4 2" xfId="5809" xr:uid="{5FEDD482-F15A-476A-B1CA-19FD3D96EB28}"/>
    <cellStyle name="Millares 3 2 2 4 2 2" xfId="13370" xr:uid="{8EFC42F9-5F57-467F-A827-970039511C34}"/>
    <cellStyle name="Millares 3 2 2 4 3" xfId="7213" xr:uid="{6FDF930F-D382-4678-B786-E2A582DCD916}"/>
    <cellStyle name="Millares 3 2 2 4 3 2" xfId="14742" xr:uid="{F7A34058-7693-4F15-AF34-85E5A2D5232C}"/>
    <cellStyle name="Millares 3 2 2 4 4" xfId="10387" xr:uid="{A1A4FED5-08B0-4686-9D7D-4ECE12BD7EBF}"/>
    <cellStyle name="Millares 3 2 2 5" xfId="2929" xr:uid="{76E2EB0E-D0EA-4694-A185-BF09AE7281AE}"/>
    <cellStyle name="Millares 3 2 2 5 2" xfId="5933" xr:uid="{41EA1297-0DB3-4398-9D3C-C9ED5FC5274D}"/>
    <cellStyle name="Millares 3 2 2 5 2 2" xfId="13494" xr:uid="{84ACC0B6-59FD-4B5D-9403-08180C2D67B0}"/>
    <cellStyle name="Millares 3 2 2 5 3" xfId="7337" xr:uid="{6C862FAC-0DA2-4F57-9B9C-8EFCE7FCE7EE}"/>
    <cellStyle name="Millares 3 2 2 5 3 2" xfId="14866" xr:uid="{1F70BD44-72CF-4440-B5EC-D5CA79AE4B99}"/>
    <cellStyle name="Millares 3 2 2 5 4" xfId="10511" xr:uid="{13665B18-D430-4CF6-89EF-6B5CF9F51F0F}"/>
    <cellStyle name="Millares 3 2 2 6" xfId="3053" xr:uid="{87EE14FE-B4A5-4860-A61E-CDF6E6C91E3A}"/>
    <cellStyle name="Millares 3 2 2 6 2" xfId="6057" xr:uid="{8969D19B-3329-42E1-AA0E-450FDCA62624}"/>
    <cellStyle name="Millares 3 2 2 6 2 2" xfId="13618" xr:uid="{FD96EF29-1B34-4204-BE9B-779BBF5FBDF3}"/>
    <cellStyle name="Millares 3 2 2 6 3" xfId="7461" xr:uid="{CF5FFB28-280E-449B-82CB-A39401F9B09E}"/>
    <cellStyle name="Millares 3 2 2 6 3 2" xfId="14990" xr:uid="{D8C4331E-61F4-47D6-ADCF-78A2CB833F76}"/>
    <cellStyle name="Millares 3 2 2 6 4" xfId="10635" xr:uid="{61C7A5D5-5DE4-4E1F-9612-21B0FA32BAC7}"/>
    <cellStyle name="Millares 3 2 2 7" xfId="3177" xr:uid="{DFF813AE-F3C1-4067-B657-03726FE7ED0D}"/>
    <cellStyle name="Millares 3 2 2 7 2" xfId="6181" xr:uid="{B8236700-62B4-4C02-B0DD-784357DDDB5F}"/>
    <cellStyle name="Millares 3 2 2 7 2 2" xfId="13742" xr:uid="{2611B0E8-A586-4542-8201-8881DFCF9296}"/>
    <cellStyle name="Millares 3 2 2 7 3" xfId="7585" xr:uid="{FDFBCBE0-94C3-4CF5-9700-6B869852193D}"/>
    <cellStyle name="Millares 3 2 2 7 3 2" xfId="15114" xr:uid="{2B8D88CC-355C-4AA8-B2D4-CE6001DD2EEC}"/>
    <cellStyle name="Millares 3 2 2 7 4" xfId="10759" xr:uid="{B0BE88FA-E566-4FBF-A137-68E458676E0E}"/>
    <cellStyle name="Millares 3 2 2 8" xfId="3302" xr:uid="{BA61DB1E-6A5C-4C7C-BBF3-FE5B04F09CAE}"/>
    <cellStyle name="Millares 3 2 2 8 2" xfId="6306" xr:uid="{8703EED6-1C44-44F0-A814-E5BFCBF70D85}"/>
    <cellStyle name="Millares 3 2 2 8 2 2" xfId="13867" xr:uid="{D9461905-2EF7-4CED-8716-18DBAC084DD6}"/>
    <cellStyle name="Millares 3 2 2 8 3" xfId="7710" xr:uid="{63ADCC5A-0EF4-4F87-8DB6-8A067CFAEFA7}"/>
    <cellStyle name="Millares 3 2 2 8 3 2" xfId="15239" xr:uid="{34A9177C-C91F-4ED2-A074-EF7328EB230F}"/>
    <cellStyle name="Millares 3 2 2 8 4" xfId="10884" xr:uid="{51AF47AD-B6C8-4874-90C2-82F0A912C392}"/>
    <cellStyle name="Millares 3 2 2 9" xfId="3430" xr:uid="{E9EE3CA8-35D2-4F15-B89D-22204F384A12}"/>
    <cellStyle name="Millares 3 2 2 9 2" xfId="6432" xr:uid="{679A2763-A1CE-46C4-83E6-DB0E51F915A7}"/>
    <cellStyle name="Millares 3 2 2 9 2 2" xfId="13993" xr:uid="{8AA234F3-1F0A-4FF7-A1DD-BFA565255108}"/>
    <cellStyle name="Millares 3 2 2 9 3" xfId="7836" xr:uid="{F1EAD21A-444C-4EE6-9F94-B1F7ECE8F2E1}"/>
    <cellStyle name="Millares 3 2 2 9 3 2" xfId="15365" xr:uid="{40F0884D-EFEF-4720-89D5-098791A2008D}"/>
    <cellStyle name="Millares 3 2 2 9 4" xfId="11010" xr:uid="{AB571DB0-9638-4B01-9D16-E4F43455D9A3}"/>
    <cellStyle name="Millares 3 2 3" xfId="2503" xr:uid="{390B528D-E55E-4BEB-92D7-B7A165736D7B}"/>
    <cellStyle name="Millares 3 2 3 2" xfId="6645" xr:uid="{78817F65-493B-4358-8D01-B35757E56C95}"/>
    <cellStyle name="Millares 3 2 3 2 2" xfId="8031" xr:uid="{304BB7FC-BF6C-4EE2-9231-3CA619A41EF3}"/>
    <cellStyle name="Millares 3 2 3 2 2 2" xfId="15560" xr:uid="{5B3A14F6-6BB1-4B5E-A0C2-686D95553463}"/>
    <cellStyle name="Millares 3 2 3 2 3" xfId="14188" xr:uid="{42A97152-CEC8-40C4-9D3D-ADE5510E631C}"/>
    <cellStyle name="Millares 3 2 3 3" xfId="5509" xr:uid="{3812FD1F-623C-4551-8906-FA668308D2F2}"/>
    <cellStyle name="Millares 3 2 3 3 2" xfId="13070" xr:uid="{16300C50-67CC-42BB-9A5B-BBC8A64C993A}"/>
    <cellStyle name="Millares 3 2 3 4" xfId="6913" xr:uid="{2199FFE4-405B-4146-BEF0-D19B2CDF0E3D}"/>
    <cellStyle name="Millares 3 2 3 4 2" xfId="14442" xr:uid="{D34D0953-3A8D-4D8F-9B06-49622967F6FB}"/>
    <cellStyle name="Millares 3 2 3 5" xfId="10087" xr:uid="{60D97FED-3DF3-472E-B4ED-644947EFE9B0}"/>
    <cellStyle name="Millares 3 2 4" xfId="2624" xr:uid="{CC82989A-CA6E-435F-853D-90F6DC115D05}"/>
    <cellStyle name="Millares 3 2 4 2" xfId="5629" xr:uid="{CD873988-AB6B-4103-A89E-6C9CED640FC7}"/>
    <cellStyle name="Millares 3 2 4 2 2" xfId="13190" xr:uid="{4B7D5F14-564D-4077-85A3-BEE4371BD07C}"/>
    <cellStyle name="Millares 3 2 4 3" xfId="7033" xr:uid="{022640A1-52CE-461D-8E6A-ECEA5DCE7812}"/>
    <cellStyle name="Millares 3 2 4 3 2" xfId="14562" xr:uid="{74F1A30E-ACFF-41B6-8327-759087490A67}"/>
    <cellStyle name="Millares 3 2 4 4" xfId="10207" xr:uid="{6C596B2E-92A4-476E-B16C-AF6176A64457}"/>
    <cellStyle name="Millares 3 2 5" xfId="2746" xr:uid="{282CC76D-08BF-4F76-8120-C400C921C103}"/>
    <cellStyle name="Millares 3 2 5 2" xfId="5751" xr:uid="{E21620B2-474A-412A-8273-993790EAF46B}"/>
    <cellStyle name="Millares 3 2 5 2 2" xfId="13312" xr:uid="{93DD633A-41D8-4F91-9EA6-D82C41048BF3}"/>
    <cellStyle name="Millares 3 2 5 3" xfId="7155" xr:uid="{C462F0E0-4C55-445B-86FF-23089F5B0BB4}"/>
    <cellStyle name="Millares 3 2 5 3 2" xfId="14684" xr:uid="{462833F4-3718-415D-B65E-76F9DEC82036}"/>
    <cellStyle name="Millares 3 2 5 4" xfId="10329" xr:uid="{DFD1D540-4E20-4D6A-89F3-D37ED25BE722}"/>
    <cellStyle name="Millares 3 2 6" xfId="2871" xr:uid="{93CEAF4E-9BDD-4268-9891-2E51ED3C3B7E}"/>
    <cellStyle name="Millares 3 2 6 2" xfId="5875" xr:uid="{8A0A8325-A733-4630-BFBF-02CEE17268EE}"/>
    <cellStyle name="Millares 3 2 6 2 2" xfId="13436" xr:uid="{A0C095F9-86D6-480C-B873-9E382A8B1409}"/>
    <cellStyle name="Millares 3 2 6 3" xfId="7279" xr:uid="{A4321247-FC3A-44F4-8BD3-4C01B7A1F931}"/>
    <cellStyle name="Millares 3 2 6 3 2" xfId="14808" xr:uid="{53866AD2-F5B3-4A6B-98BD-2AA7B40FFE7E}"/>
    <cellStyle name="Millares 3 2 6 4" xfId="10453" xr:uid="{AF2B695A-E7AE-4577-8DFA-B3879490B088}"/>
    <cellStyle name="Millares 3 2 7" xfId="2995" xr:uid="{57D58F1E-DC99-4789-AE8C-CC9A5E042016}"/>
    <cellStyle name="Millares 3 2 7 2" xfId="5999" xr:uid="{8C94B466-3C76-43B3-888D-AED83E880FD3}"/>
    <cellStyle name="Millares 3 2 7 2 2" xfId="13560" xr:uid="{2CAB9CC1-097E-4800-A6CB-B4ADFF933254}"/>
    <cellStyle name="Millares 3 2 7 3" xfId="7403" xr:uid="{E39CFEFD-6BE7-4655-948E-DB539F7C841D}"/>
    <cellStyle name="Millares 3 2 7 3 2" xfId="14932" xr:uid="{7FDED64E-4E74-4C7C-AF07-D57EE41ECAA9}"/>
    <cellStyle name="Millares 3 2 7 4" xfId="10577" xr:uid="{F2D8F45A-23B6-43C4-B4FF-BCAFBD113210}"/>
    <cellStyle name="Millares 3 2 8" xfId="3119" xr:uid="{CC4BE63A-06AB-4BFD-BC12-CEF52173E087}"/>
    <cellStyle name="Millares 3 2 8 2" xfId="6123" xr:uid="{BB34E574-04A4-4F67-A80F-F57D8BE91EB8}"/>
    <cellStyle name="Millares 3 2 8 2 2" xfId="13684" xr:uid="{896548BC-F795-4116-ABC1-F3634594491B}"/>
    <cellStyle name="Millares 3 2 8 3" xfId="7527" xr:uid="{5F40D166-DCD3-44DD-9D00-DBB5EB31859B}"/>
    <cellStyle name="Millares 3 2 8 3 2" xfId="15056" xr:uid="{4F0ACCE9-81A2-4712-8508-E63CE380347E}"/>
    <cellStyle name="Millares 3 2 8 4" xfId="10701" xr:uid="{69F65776-E1C1-46F1-B0F3-D68819CF19F9}"/>
    <cellStyle name="Millares 3 2 9" xfId="3244" xr:uid="{202C9B98-8387-46AF-998A-2A2BDB2323A4}"/>
    <cellStyle name="Millares 3 2 9 2" xfId="6248" xr:uid="{2727FB64-E457-4704-89E2-B277A3571F3C}"/>
    <cellStyle name="Millares 3 2 9 2 2" xfId="13809" xr:uid="{D15D50A8-2CA4-4C1E-A857-E0CA5876AACF}"/>
    <cellStyle name="Millares 3 2 9 3" xfId="7652" xr:uid="{46BAFCCA-A66D-4F01-936E-93AA60AEAEC6}"/>
    <cellStyle name="Millares 3 2 9 3 2" xfId="15181" xr:uid="{963C361D-A0B1-4F20-A6B5-9CA07319C855}"/>
    <cellStyle name="Millares 3 2 9 4" xfId="10826" xr:uid="{B172F8B5-96AE-4CAE-BF4A-5E773F24D0C2}"/>
    <cellStyle name="Millares 3 3" xfId="1062" xr:uid="{52220E21-1E31-4675-A8FE-313E5F453682}"/>
    <cellStyle name="Millares 3 3 10" xfId="2407" xr:uid="{7F4BAB5D-D9C4-4C65-B463-FAA8689A5886}"/>
    <cellStyle name="Millares 3 3 10 2" xfId="6538" xr:uid="{6112CD15-507F-488B-BBB5-372F84FABECC}"/>
    <cellStyle name="Millares 3 3 10 2 2" xfId="14094" xr:uid="{5B73047D-92F8-4CAC-A09E-891E27FF2D6D}"/>
    <cellStyle name="Millares 3 3 10 3" xfId="7937" xr:uid="{931494CE-896F-47F4-812B-3BE273EB7B52}"/>
    <cellStyle name="Millares 3 3 10 3 2" xfId="15466" xr:uid="{39F2CF63-BEF2-4CC8-AC58-96CA9AF8B8FB}"/>
    <cellStyle name="Millares 3 3 10 4" xfId="9995" xr:uid="{443300D0-3DB3-4548-AB3A-FB2D0B0FFCC6}"/>
    <cellStyle name="Millares 3 3 11" xfId="4022" xr:uid="{63D78FA6-C11A-4FCF-AA41-55701029DAC2}"/>
    <cellStyle name="Millares 3 3 11 2" xfId="11590" xr:uid="{DD7329F6-530F-4798-A37E-ED173711EB3F}"/>
    <cellStyle name="Millares 3 3 12" xfId="5417" xr:uid="{B5B22979-2423-4A98-A025-9C6E23DD3A87}"/>
    <cellStyle name="Millares 3 3 12 2" xfId="12978" xr:uid="{799F5FDA-45D2-4931-8C7F-D10B0F5A4E27}"/>
    <cellStyle name="Millares 3 3 13" xfId="6821" xr:uid="{3E17AB00-0843-4B7D-A573-8BA33529E6AC}"/>
    <cellStyle name="Millares 3 3 13 2" xfId="14350" xr:uid="{19CF5ECE-1F63-44C1-9ACE-101F8203E5BB}"/>
    <cellStyle name="Millares 3 3 14" xfId="8670" xr:uid="{127B993E-E1E8-4B28-9104-4212E7EC7D3E}"/>
    <cellStyle name="Millares 3 3 2" xfId="2531" xr:uid="{72A8E594-BB80-4B48-BF0F-2E9A88931072}"/>
    <cellStyle name="Millares 3 3 2 2" xfId="6673" xr:uid="{6CED83CA-33A4-4933-8313-7F0EB2F052ED}"/>
    <cellStyle name="Millares 3 3 2 2 2" xfId="8059" xr:uid="{70FE8F1D-56CC-48A2-9C53-64D80F041EBC}"/>
    <cellStyle name="Millares 3 3 2 2 2 2" xfId="15588" xr:uid="{F0382931-D796-4130-971F-AD8FB765E9CB}"/>
    <cellStyle name="Millares 3 3 2 2 3" xfId="14216" xr:uid="{301CEE14-0633-477E-89E2-48208AAD4CA0}"/>
    <cellStyle name="Millares 3 3 2 3" xfId="5537" xr:uid="{738F2BA2-A77A-451C-B99D-A7C9C7CE9217}"/>
    <cellStyle name="Millares 3 3 2 3 2" xfId="13098" xr:uid="{1D39A16F-765E-4DB2-B130-222C6FD19FBA}"/>
    <cellStyle name="Millares 3 3 2 4" xfId="6941" xr:uid="{B45EC566-5335-48DC-86AF-02E47517467C}"/>
    <cellStyle name="Millares 3 3 2 4 2" xfId="14470" xr:uid="{1DC27331-8FD3-4BE2-AC7D-B3113AC1FC3A}"/>
    <cellStyle name="Millares 3 3 2 5" xfId="10115" xr:uid="{14BCF8E5-E7BE-46BB-80EF-EB6880617FF1}"/>
    <cellStyle name="Millares 3 3 3" xfId="2652" xr:uid="{2DA74CC1-46D9-43B0-927B-4AC1D5BFDFA4}"/>
    <cellStyle name="Millares 3 3 3 2" xfId="5657" xr:uid="{0B6219CA-C8AC-472C-B914-113B79B3F9A8}"/>
    <cellStyle name="Millares 3 3 3 2 2" xfId="13218" xr:uid="{7F4096F2-847C-40D5-B75D-701FC49A614F}"/>
    <cellStyle name="Millares 3 3 3 3" xfId="7061" xr:uid="{4A5CDAE9-2761-4A3D-8D39-A4AD89224665}"/>
    <cellStyle name="Millares 3 3 3 3 2" xfId="14590" xr:uid="{3EEE56CA-0362-4B69-A25D-9FF0320A70D3}"/>
    <cellStyle name="Millares 3 3 3 4" xfId="10235" xr:uid="{223698FF-D2A6-4419-81C6-A783B73640FA}"/>
    <cellStyle name="Millares 3 3 4" xfId="2774" xr:uid="{64816B26-B63B-485D-8135-72FEF82F7F16}"/>
    <cellStyle name="Millares 3 3 4 2" xfId="5779" xr:uid="{8647BCD6-1877-4A4E-A85F-89156B114806}"/>
    <cellStyle name="Millares 3 3 4 2 2" xfId="13340" xr:uid="{AD55B875-4BC8-4F81-A9B0-2776DE9282F3}"/>
    <cellStyle name="Millares 3 3 4 3" xfId="7183" xr:uid="{7B13A77C-CE4A-4DD7-BE14-A4634210B7F5}"/>
    <cellStyle name="Millares 3 3 4 3 2" xfId="14712" xr:uid="{3027C007-D0D2-4BD5-9AD2-E596F740ECC9}"/>
    <cellStyle name="Millares 3 3 4 4" xfId="10357" xr:uid="{7942B7DB-5DFF-4906-AD3D-C6885A844D11}"/>
    <cellStyle name="Millares 3 3 5" xfId="2899" xr:uid="{566446AF-0B92-4D45-BAC0-5A5122C00F04}"/>
    <cellStyle name="Millares 3 3 5 2" xfId="5903" xr:uid="{601EADFA-1372-4E85-813D-DEFBA5E370B7}"/>
    <cellStyle name="Millares 3 3 5 2 2" xfId="13464" xr:uid="{0D14C76B-15DE-4EAF-830D-E51B767AC422}"/>
    <cellStyle name="Millares 3 3 5 3" xfId="7307" xr:uid="{1B6D0B71-CCA4-4DB3-A5C2-A79A3E6C5F7B}"/>
    <cellStyle name="Millares 3 3 5 3 2" xfId="14836" xr:uid="{731E5B8E-7175-4433-9D53-907F6022F2BA}"/>
    <cellStyle name="Millares 3 3 5 4" xfId="10481" xr:uid="{E9938DC6-F7C8-459D-B9CB-03874EBCB2E9}"/>
    <cellStyle name="Millares 3 3 6" xfId="3023" xr:uid="{48C139D8-1236-40A4-B7D0-C04BB40A9D2C}"/>
    <cellStyle name="Millares 3 3 6 2" xfId="6027" xr:uid="{B5808EC8-978E-45F0-A9DC-D76A60436A16}"/>
    <cellStyle name="Millares 3 3 6 2 2" xfId="13588" xr:uid="{988BD124-F700-4440-B26E-A42A3576536E}"/>
    <cellStyle name="Millares 3 3 6 3" xfId="7431" xr:uid="{E94E66A6-B54C-484B-8566-DAE97F22773E}"/>
    <cellStyle name="Millares 3 3 6 3 2" xfId="14960" xr:uid="{10188B31-431E-4BE3-9193-BE1E3CDE5D30}"/>
    <cellStyle name="Millares 3 3 6 4" xfId="10605" xr:uid="{DE809BDA-CFD2-42AA-B91F-93FEE188E32D}"/>
    <cellStyle name="Millares 3 3 7" xfId="3147" xr:uid="{7F17DBD8-4591-4D45-B648-1CABB9472A2F}"/>
    <cellStyle name="Millares 3 3 7 2" xfId="6151" xr:uid="{458E41C4-9A02-4437-9C78-FF7E8145FD67}"/>
    <cellStyle name="Millares 3 3 7 2 2" xfId="13712" xr:uid="{C392461D-D97E-44FB-B1B2-275BCC06BF64}"/>
    <cellStyle name="Millares 3 3 7 3" xfId="7555" xr:uid="{B8739F75-669E-41AE-AC3D-118414BAB7FB}"/>
    <cellStyle name="Millares 3 3 7 3 2" xfId="15084" xr:uid="{4004E56E-CF2A-44DE-A71F-4C88689CD8BD}"/>
    <cellStyle name="Millares 3 3 7 4" xfId="10729" xr:uid="{7DB62F65-94BE-4EF5-869E-A5B8641FAE77}"/>
    <cellStyle name="Millares 3 3 8" xfId="3272" xr:uid="{CF4D8A11-9235-4C44-B342-C862B4A9815D}"/>
    <cellStyle name="Millares 3 3 8 2" xfId="6276" xr:uid="{0015F85B-1D17-48F1-B097-F18FA540428A}"/>
    <cellStyle name="Millares 3 3 8 2 2" xfId="13837" xr:uid="{2256DBD0-0AFC-4F05-B86D-4D6833BFBC25}"/>
    <cellStyle name="Millares 3 3 8 3" xfId="7680" xr:uid="{F47F1F67-61E8-4146-8804-314E69A98EEB}"/>
    <cellStyle name="Millares 3 3 8 3 2" xfId="15209" xr:uid="{66DDDA20-7AA3-4E8A-ABC0-DD4F53A1A89A}"/>
    <cellStyle name="Millares 3 3 8 4" xfId="10854" xr:uid="{CA7426C5-254E-4042-A547-2AFE04CEB3FB}"/>
    <cellStyle name="Millares 3 3 9" xfId="3400" xr:uid="{1F2E0E50-BA67-48DA-A4DF-A7650C189F6F}"/>
    <cellStyle name="Millares 3 3 9 2" xfId="6402" xr:uid="{7EBE7976-8A73-40D6-B707-A0A2283DF0B1}"/>
    <cellStyle name="Millares 3 3 9 2 2" xfId="13963" xr:uid="{44065172-F8AC-40C6-9597-E1894BBF9743}"/>
    <cellStyle name="Millares 3 3 9 3" xfId="7806" xr:uid="{080D8F0F-3B06-4CCB-B59D-7529AFA45C75}"/>
    <cellStyle name="Millares 3 3 9 3 2" xfId="15335" xr:uid="{5B38DBB7-D0BB-46AF-991D-66079CCEBA68}"/>
    <cellStyle name="Millares 3 3 9 4" xfId="10980" xr:uid="{92CDA0F2-E8D8-4AB1-81B5-140EFA7BD302}"/>
    <cellStyle name="Millares 3 4" xfId="1426" xr:uid="{A8AC9315-3590-42CD-9AED-BEC4432FAA1C}"/>
    <cellStyle name="Millares 3 4 2" xfId="2472" xr:uid="{FB74904A-904B-432B-8AAE-B93CECFF6DA2}"/>
    <cellStyle name="Millares 3 4 2 2" xfId="6615" xr:uid="{9A243F5C-5D0A-46D6-B8CF-90B92845B8C6}"/>
    <cellStyle name="Millares 3 4 2 2 2" xfId="14158" xr:uid="{A66139E3-F0FF-41C7-81AA-669CC99B48E7}"/>
    <cellStyle name="Millares 3 4 2 3" xfId="8001" xr:uid="{1F99AABF-6E27-464C-B2F8-5A1DAC25C73B}"/>
    <cellStyle name="Millares 3 4 2 3 2" xfId="15530" xr:uid="{BFAC4CED-D541-4B03-971C-6D883A9787A4}"/>
    <cellStyle name="Millares 3 4 2 4" xfId="10056" xr:uid="{1BC93228-86E4-4EF2-B30D-0070365D1E24}"/>
    <cellStyle name="Millares 3 4 3" xfId="4386" xr:uid="{20F2FFE9-66DA-42F6-9CD5-20DC437AB96F}"/>
    <cellStyle name="Millares 3 4 3 2" xfId="11954" xr:uid="{60523B9D-73DB-4CA6-97D2-C3102A0B12E2}"/>
    <cellStyle name="Millares 3 4 4" xfId="5478" xr:uid="{42555527-0716-42FC-B42F-F81F519C464C}"/>
    <cellStyle name="Millares 3 4 4 2" xfId="13039" xr:uid="{041F4323-FEEE-4502-A348-E5B294E8D3A3}"/>
    <cellStyle name="Millares 3 4 5" xfId="6882" xr:uid="{EFC165FA-6AC1-489B-89F9-16FBA688AB13}"/>
    <cellStyle name="Millares 3 4 5 2" xfId="14411" xr:uid="{E170E68C-FDB9-4937-8058-F7F8510CC7D8}"/>
    <cellStyle name="Millares 3 4 6" xfId="9034" xr:uid="{32A98EBA-CD53-43FF-B01B-BD9068325DB2}"/>
    <cellStyle name="Millares 3 5" xfId="1805" xr:uid="{CDA494D8-2F5C-451C-A400-02043984A210}"/>
    <cellStyle name="Millares 3 5 2" xfId="2594" xr:uid="{FF9CF86C-DE37-4D63-8006-CB43DC704C24}"/>
    <cellStyle name="Millares 3 5 2 2" xfId="10177" xr:uid="{D6766A2A-529B-4C3C-8D32-41383D34E2A4}"/>
    <cellStyle name="Millares 3 5 3" xfId="4764" xr:uid="{8261444C-E243-42B9-8251-AE6D47359ECC}"/>
    <cellStyle name="Millares 3 5 3 2" xfId="12332" xr:uid="{4E7F4763-E83B-416E-B128-E479E7E9C111}"/>
    <cellStyle name="Millares 3 5 4" xfId="5599" xr:uid="{BACB896E-EE29-4B04-AD82-85B0AF89A6C0}"/>
    <cellStyle name="Millares 3 5 4 2" xfId="13160" xr:uid="{B3790D99-A41B-43B0-BD2B-27A9B3AFFC13}"/>
    <cellStyle name="Millares 3 5 5" xfId="7003" xr:uid="{545E0754-FBDC-4ADC-AC88-FE34F0A03A3E}"/>
    <cellStyle name="Millares 3 5 5 2" xfId="14532" xr:uid="{E3347027-7CD5-4800-8CEE-5A7501A3E4FC}"/>
    <cellStyle name="Millares 3 5 6" xfId="9412" xr:uid="{D28EE899-4AC8-4C44-AFE8-C7B45D929297}"/>
    <cellStyle name="Millares 3 6" xfId="2716" xr:uid="{18DF3EA6-739B-4F7D-BE75-42B1FB9B811D}"/>
    <cellStyle name="Millares 3 6 2" xfId="5721" xr:uid="{F23E667E-9165-4AAC-93F0-BDD874DA61FF}"/>
    <cellStyle name="Millares 3 6 2 2" xfId="13282" xr:uid="{AE89FEC9-3ADD-45F3-84A2-B081460C643D}"/>
    <cellStyle name="Millares 3 6 3" xfId="7125" xr:uid="{966A0618-5B2D-42BC-94EC-934F30D309DA}"/>
    <cellStyle name="Millares 3 6 3 2" xfId="14654" xr:uid="{ED142ABE-9879-4107-99B7-85FB724584D4}"/>
    <cellStyle name="Millares 3 6 4" xfId="10299" xr:uid="{DD5FD34C-A8CD-43E7-8D35-4A3370EBA1AF}"/>
    <cellStyle name="Millares 3 7" xfId="2841" xr:uid="{8691B635-15BF-43FE-8D0A-14E5EA6E2F08}"/>
    <cellStyle name="Millares 3 7 2" xfId="5845" xr:uid="{B47CD555-109E-4A29-BBC4-124D68109A54}"/>
    <cellStyle name="Millares 3 7 2 2" xfId="13406" xr:uid="{A5F30836-9836-4C98-8F6E-E7199915B6C8}"/>
    <cellStyle name="Millares 3 7 3" xfId="7249" xr:uid="{2C6E0D99-B948-4B65-8A55-2B80262F9B32}"/>
    <cellStyle name="Millares 3 7 3 2" xfId="14778" xr:uid="{C75C9A1B-2F40-4A1A-B47E-E2FD6F0490DC}"/>
    <cellStyle name="Millares 3 7 4" xfId="10423" xr:uid="{67FC274E-C91C-49D8-BCD0-2D39F606AF01}"/>
    <cellStyle name="Millares 3 8" xfId="2965" xr:uid="{618E0D80-1640-4AF9-A38F-D3CE7C6B06AF}"/>
    <cellStyle name="Millares 3 8 2" xfId="5969" xr:uid="{CE8A37FA-5C19-4348-9253-4CB88BBC626A}"/>
    <cellStyle name="Millares 3 8 2 2" xfId="13530" xr:uid="{9C33733B-B04F-46D7-A28B-5CB50B52957F}"/>
    <cellStyle name="Millares 3 8 3" xfId="7373" xr:uid="{F9F5135D-AB78-4A7E-B75C-CB2FDF2D94C4}"/>
    <cellStyle name="Millares 3 8 3 2" xfId="14902" xr:uid="{B20D1F04-FB3C-4421-8211-05F5D7CA814B}"/>
    <cellStyle name="Millares 3 8 4" xfId="10547" xr:uid="{D07C7740-C3C4-47D9-A01A-3F8887D2C76D}"/>
    <cellStyle name="Millares 3 9" xfId="3089" xr:uid="{32D7419A-2370-4538-994A-4C68EFB4FD71}"/>
    <cellStyle name="Millares 3 9 2" xfId="6093" xr:uid="{07761C5A-6F83-4664-BBC3-1C6634345F08}"/>
    <cellStyle name="Millares 3 9 2 2" xfId="13654" xr:uid="{61339358-328D-400D-A008-75C4B20CDE14}"/>
    <cellStyle name="Millares 3 9 3" xfId="7497" xr:uid="{4977E2B0-1F31-413E-9ACB-EB2B05D244DE}"/>
    <cellStyle name="Millares 3 9 3 2" xfId="15026" xr:uid="{9204645B-5F8A-4016-9A3F-2E6A3891E527}"/>
    <cellStyle name="Millares 3 9 4" xfId="10671" xr:uid="{E3F8A2DA-5CC3-45D6-A518-BCA14176BC0D}"/>
    <cellStyle name="Millares 30" xfId="273" xr:uid="{D79321B9-4E93-4B94-A94B-0275654FFA0C}"/>
    <cellStyle name="Millares 30 2" xfId="1116" xr:uid="{DD104B91-9C79-4721-916D-E500600494EC}"/>
    <cellStyle name="Millares 30 2 2" xfId="4076" xr:uid="{EE97FB2B-71F0-4D45-B45A-C90ADF05C8C1}"/>
    <cellStyle name="Millares 30 2 2 2" xfId="11644" xr:uid="{12C3C424-98E3-482B-99B7-54C5D18EC973}"/>
    <cellStyle name="Millares 30 2 3" xfId="8724" xr:uid="{259E18C9-14B9-4145-9341-767B154BF6FD}"/>
    <cellStyle name="Millares 30 3" xfId="1480" xr:uid="{3A88B065-640C-45F4-84BE-F61118548266}"/>
    <cellStyle name="Millares 30 3 2" xfId="4440" xr:uid="{B1B60CC9-C7E7-40C3-B103-A605E0EF4D21}"/>
    <cellStyle name="Millares 30 3 2 2" xfId="12008" xr:uid="{1B624C6B-ABEE-4C08-A0AE-9871D6B43E5E}"/>
    <cellStyle name="Millares 30 3 3" xfId="9088" xr:uid="{52C70D8B-CDD2-440D-A046-18282F18B94F}"/>
    <cellStyle name="Millares 30 4" xfId="1859" xr:uid="{C9AB4F51-735F-4DF0-935E-5E57C9892095}"/>
    <cellStyle name="Millares 30 4 2" xfId="4818" xr:uid="{4BABDA82-6CAD-442E-9DFC-BB5B07214F2E}"/>
    <cellStyle name="Millares 30 4 2 2" xfId="12386" xr:uid="{B0CC4595-3A30-49AC-86F3-CE60FBF6EB15}"/>
    <cellStyle name="Millares 30 4 3" xfId="9466" xr:uid="{90F629EF-A120-46F5-9369-E663B9751549}"/>
    <cellStyle name="Millares 30 5" xfId="3545" xr:uid="{99FB3C04-FEBA-4A54-A24F-6FB8CB2314E8}"/>
    <cellStyle name="Millares 30 5 2" xfId="11113" xr:uid="{525894E9-B2FA-44BE-B9F3-CE748FB77079}"/>
    <cellStyle name="Millares 30 6" xfId="8193" xr:uid="{2654903C-B799-41EA-BDE3-B62AFAC0532E}"/>
    <cellStyle name="Millares 31" xfId="276" xr:uid="{F11BF5A9-3740-413B-A286-BACEB9414647}"/>
    <cellStyle name="Millares 31 2" xfId="1118" xr:uid="{7347E83E-3CC8-423D-B2F1-D7628EE4B8A3}"/>
    <cellStyle name="Millares 31 2 2" xfId="4078" xr:uid="{73EB11F5-67B4-44DA-AED2-50E25CC9ED52}"/>
    <cellStyle name="Millares 31 2 2 2" xfId="11646" xr:uid="{4903557E-61F4-4B3A-9CDC-59EC53FB93CD}"/>
    <cellStyle name="Millares 31 2 3" xfId="8726" xr:uid="{0B5EDEB0-6420-4F55-AFF8-ED085E972F1E}"/>
    <cellStyle name="Millares 31 3" xfId="1482" xr:uid="{D3C2980E-1EF3-4D2E-8C05-6244841B7F10}"/>
    <cellStyle name="Millares 31 3 2" xfId="4442" xr:uid="{1FC80AB7-5637-44FA-A7A0-4E0A473846C7}"/>
    <cellStyle name="Millares 31 3 2 2" xfId="12010" xr:uid="{10BD3C83-14A7-40F9-ACEC-B3AAD8F529A3}"/>
    <cellStyle name="Millares 31 3 3" xfId="9090" xr:uid="{1ACB6EEB-A61B-4031-8B4B-B41CB274704F}"/>
    <cellStyle name="Millares 31 4" xfId="1861" xr:uid="{1ABCAF1A-060E-45D2-9CE8-9F24FF6834E2}"/>
    <cellStyle name="Millares 31 4 2" xfId="4820" xr:uid="{94479E6C-9A73-419C-8C98-AB8760E2F391}"/>
    <cellStyle name="Millares 31 4 2 2" xfId="12388" xr:uid="{76889871-112D-434F-BD34-9871FD9A511D}"/>
    <cellStyle name="Millares 31 4 3" xfId="9468" xr:uid="{55CEA39B-E206-4B24-8715-002B3964371C}"/>
    <cellStyle name="Millares 31 5" xfId="3547" xr:uid="{FC2F0BA1-8859-4170-BA6D-121E1B1E6763}"/>
    <cellStyle name="Millares 31 5 2" xfId="11115" xr:uid="{6D7FFFCC-CB84-4C6B-B7FD-6728A3DC2792}"/>
    <cellStyle name="Millares 31 6" xfId="8195" xr:uid="{E1789A3C-830C-445E-B0E4-9963C170977F}"/>
    <cellStyle name="Millares 32" xfId="279" xr:uid="{A8859FA6-BEEA-4B55-8443-623F3F772152}"/>
    <cellStyle name="Millares 32 2" xfId="1120" xr:uid="{F466400B-8AC9-4963-9D55-710E5E0E8C30}"/>
    <cellStyle name="Millares 32 2 2" xfId="4080" xr:uid="{C14A7FB3-17C2-45F5-BD4B-48D4C22DA888}"/>
    <cellStyle name="Millares 32 2 2 2" xfId="11648" xr:uid="{5CA16697-8A25-4FA7-B0B9-FD81F8D19E99}"/>
    <cellStyle name="Millares 32 2 3" xfId="8728" xr:uid="{119D25BC-1F18-4713-92E8-B05DA1C55873}"/>
    <cellStyle name="Millares 32 3" xfId="1484" xr:uid="{CD8AA4F0-9078-4F58-9824-221CA005F8F5}"/>
    <cellStyle name="Millares 32 3 2" xfId="4444" xr:uid="{735D8376-D26A-407E-9741-DF3BE826E76E}"/>
    <cellStyle name="Millares 32 3 2 2" xfId="12012" xr:uid="{AE329FA1-E28B-447B-AA8D-2CD1A59E3E4A}"/>
    <cellStyle name="Millares 32 3 3" xfId="9092" xr:uid="{5E3FF901-1AC6-4137-A942-0C06832F12B7}"/>
    <cellStyle name="Millares 32 4" xfId="1863" xr:uid="{4E8EC01A-E594-4A2D-8DB0-5C002612B270}"/>
    <cellStyle name="Millares 32 4 2" xfId="4822" xr:uid="{5A75984E-32B9-416F-B3BE-075435B7127E}"/>
    <cellStyle name="Millares 32 4 2 2" xfId="12390" xr:uid="{58839976-FC36-4F98-8334-FB181E09D443}"/>
    <cellStyle name="Millares 32 4 3" xfId="9470" xr:uid="{36B047CC-F41C-4D72-B7F6-379715B294F2}"/>
    <cellStyle name="Millares 32 5" xfId="3549" xr:uid="{252149F7-3508-4DC3-8A97-F0A4BABD8AC9}"/>
    <cellStyle name="Millares 32 5 2" xfId="11117" xr:uid="{95D7053B-2F9B-4BA1-BAB7-FE23E7ABD79A}"/>
    <cellStyle name="Millares 32 6" xfId="8197" xr:uid="{7C076EBE-D4CB-4234-95F2-1469856BB903}"/>
    <cellStyle name="Millares 33" xfId="282" xr:uid="{091E07BF-4EB0-486E-994B-35A54A2DF834}"/>
    <cellStyle name="Millares 33 2" xfId="1122" xr:uid="{A0044510-33EE-4141-99EE-2F0C1F63D70A}"/>
    <cellStyle name="Millares 33 2 2" xfId="4082" xr:uid="{FE238B8D-A241-41B5-A4DF-63C278569D4A}"/>
    <cellStyle name="Millares 33 2 2 2" xfId="11650" xr:uid="{41DADAA4-1953-4455-BE5E-81F77030E065}"/>
    <cellStyle name="Millares 33 2 3" xfId="8730" xr:uid="{B241D03A-344C-4E36-A21F-EB467A2B289A}"/>
    <cellStyle name="Millares 33 3" xfId="1486" xr:uid="{79F37EBC-CCD9-4DA7-9F73-A1EB6801175A}"/>
    <cellStyle name="Millares 33 3 2" xfId="4446" xr:uid="{5152A982-4F23-40AD-BC2B-F843460D6FC4}"/>
    <cellStyle name="Millares 33 3 2 2" xfId="12014" xr:uid="{D9182290-52E4-4947-BF5D-81680C6ED373}"/>
    <cellStyle name="Millares 33 3 3" xfId="9094" xr:uid="{69C4F248-FC72-43C5-8317-D01801FB1F2C}"/>
    <cellStyle name="Millares 33 4" xfId="1865" xr:uid="{208420F3-226F-4088-877D-4F9B80F9118D}"/>
    <cellStyle name="Millares 33 4 2" xfId="4824" xr:uid="{B11D1821-E86E-4266-A367-CAA2ACE4B2D3}"/>
    <cellStyle name="Millares 33 4 2 2" xfId="12392" xr:uid="{E0C3246A-3848-4ED8-852F-D214777EFC4B}"/>
    <cellStyle name="Millares 33 4 3" xfId="9472" xr:uid="{BFA21D2A-328C-424E-9143-9D3486D34A6E}"/>
    <cellStyle name="Millares 33 5" xfId="3551" xr:uid="{A3760E44-165A-4CDF-864C-D3972480D7D5}"/>
    <cellStyle name="Millares 33 5 2" xfId="11119" xr:uid="{97A8C92D-D227-4A28-AD6E-62072E162A25}"/>
    <cellStyle name="Millares 33 6" xfId="8199" xr:uid="{AC403ED0-E5EF-4F85-A626-2B36F145CA94}"/>
    <cellStyle name="Millares 34" xfId="285" xr:uid="{331C85B1-2130-4D92-B761-DA22A6655F8A}"/>
    <cellStyle name="Millares 34 2" xfId="1124" xr:uid="{6ED3E3D3-9E85-4FA8-BC89-27681E54F073}"/>
    <cellStyle name="Millares 34 2 2" xfId="4084" xr:uid="{C4DB84C1-138B-4A76-B705-5668C32C5336}"/>
    <cellStyle name="Millares 34 2 2 2" xfId="11652" xr:uid="{D8A2687A-EC7D-4CD2-B0F6-BD8C99462163}"/>
    <cellStyle name="Millares 34 2 3" xfId="8732" xr:uid="{133B1C85-5096-4A31-A93F-6232DA88DF81}"/>
    <cellStyle name="Millares 34 3" xfId="1488" xr:uid="{6D9B14F4-6701-484F-9AFD-445F6B894AC1}"/>
    <cellStyle name="Millares 34 3 2" xfId="4448" xr:uid="{0322DA32-31A3-4778-91D7-EF38213DCE68}"/>
    <cellStyle name="Millares 34 3 2 2" xfId="12016" xr:uid="{1244F63E-2B4D-49A6-AE8E-5755F65D1E1C}"/>
    <cellStyle name="Millares 34 3 3" xfId="9096" xr:uid="{0D093B1A-8A12-4ECD-9ABE-5D5B6F30DF9B}"/>
    <cellStyle name="Millares 34 4" xfId="1867" xr:uid="{5678F1F3-F217-48ED-A4A5-99E443FBAD45}"/>
    <cellStyle name="Millares 34 4 2" xfId="4826" xr:uid="{B410C03C-C792-4913-8760-B664047096DA}"/>
    <cellStyle name="Millares 34 4 2 2" xfId="12394" xr:uid="{D73A2AC8-6ABF-4455-A396-4C8C150CFC51}"/>
    <cellStyle name="Millares 34 4 3" xfId="9474" xr:uid="{92D1FE97-77CC-4FF8-B35D-6F800A175A13}"/>
    <cellStyle name="Millares 34 5" xfId="3553" xr:uid="{89E2F760-E36B-4568-94E9-80CF9EB771DF}"/>
    <cellStyle name="Millares 34 5 2" xfId="11121" xr:uid="{98A8BF86-D263-46BC-B50F-222CD87E7691}"/>
    <cellStyle name="Millares 34 6" xfId="8201" xr:uid="{A5361516-20FB-4C88-B96D-0B57138C9FFD}"/>
    <cellStyle name="Millares 35" xfId="288" xr:uid="{FCA1D2D0-13C4-4F14-955E-9B584897D30B}"/>
    <cellStyle name="Millares 35 2" xfId="1126" xr:uid="{06DE0F94-C9C8-435C-9E0C-FB80BEC6A250}"/>
    <cellStyle name="Millares 35 2 2" xfId="4086" xr:uid="{BF8E8E29-687B-4EC1-A2D8-57BE7B82A26A}"/>
    <cellStyle name="Millares 35 2 2 2" xfId="11654" xr:uid="{9CF723E1-B538-4D36-B308-0F93D69B5639}"/>
    <cellStyle name="Millares 35 2 3" xfId="8734" xr:uid="{6612617F-2FFC-4D5F-9F14-B05EBE650AC0}"/>
    <cellStyle name="Millares 35 3" xfId="1490" xr:uid="{78522352-0929-49A9-8BEB-DBE3A2A62931}"/>
    <cellStyle name="Millares 35 3 2" xfId="4450" xr:uid="{902F1AFB-1C30-4573-853F-381F2425D0D5}"/>
    <cellStyle name="Millares 35 3 2 2" xfId="12018" xr:uid="{61829E57-9B85-42A0-A310-143F3BC9C9D8}"/>
    <cellStyle name="Millares 35 3 3" xfId="9098" xr:uid="{21EB56E2-0AA5-4CC0-BCB8-E4BC21E4ABD1}"/>
    <cellStyle name="Millares 35 4" xfId="1869" xr:uid="{52CF2785-F445-4AE2-B126-25BC4E7C6F1B}"/>
    <cellStyle name="Millares 35 4 2" xfId="4828" xr:uid="{AF36927C-6511-441B-9998-D744438FE942}"/>
    <cellStyle name="Millares 35 4 2 2" xfId="12396" xr:uid="{4CB9653E-B4E7-4F73-AA72-DC75E94C0250}"/>
    <cellStyle name="Millares 35 4 3" xfId="9476" xr:uid="{124ACF8E-A873-4BFA-9E83-D88205BA4B80}"/>
    <cellStyle name="Millares 35 5" xfId="3555" xr:uid="{DEF175DD-B805-477A-A3D2-1DA3D905D9A1}"/>
    <cellStyle name="Millares 35 5 2" xfId="11123" xr:uid="{EF40E2ED-FFE8-45E7-8DA3-BE8D761FB764}"/>
    <cellStyle name="Millares 35 6" xfId="8203" xr:uid="{31AFF107-5222-4160-9D04-BD47C5CD22C2}"/>
    <cellStyle name="Millares 36" xfId="291" xr:uid="{9C99578A-5D07-44B3-BA4A-D60944B39112}"/>
    <cellStyle name="Millares 36 2" xfId="1128" xr:uid="{B21E81F2-F513-4FE1-9397-A8B6DEE34BBD}"/>
    <cellStyle name="Millares 36 2 2" xfId="4088" xr:uid="{99CD245B-7BAF-438D-80D4-C50881E92BB4}"/>
    <cellStyle name="Millares 36 2 2 2" xfId="11656" xr:uid="{445F9451-838F-4B3A-8CD1-177296044DA2}"/>
    <cellStyle name="Millares 36 2 3" xfId="8736" xr:uid="{F44B45F8-35E3-4703-92A6-296E120E2E44}"/>
    <cellStyle name="Millares 36 3" xfId="1492" xr:uid="{2DE83112-A3DD-4AFB-90F4-CEFBADCF4CD1}"/>
    <cellStyle name="Millares 36 3 2" xfId="4452" xr:uid="{4D6F7C24-520C-4DF8-A023-DCC006E4E600}"/>
    <cellStyle name="Millares 36 3 2 2" xfId="12020" xr:uid="{2964D683-9F03-43BE-A587-5E635D46057A}"/>
    <cellStyle name="Millares 36 3 3" xfId="9100" xr:uid="{101605D2-EB75-4D0B-823A-2EB169356645}"/>
    <cellStyle name="Millares 36 4" xfId="1871" xr:uid="{4D19D168-1B00-4C7F-ACE2-39B2A9DE61B5}"/>
    <cellStyle name="Millares 36 4 2" xfId="4830" xr:uid="{A6ADEA55-6A21-44E6-8C27-C2874A2C3406}"/>
    <cellStyle name="Millares 36 4 2 2" xfId="12398" xr:uid="{DF2F8FF6-8625-4BAC-95EF-4AD0EA6ED8F0}"/>
    <cellStyle name="Millares 36 4 3" xfId="9478" xr:uid="{D823C39D-089B-48D9-A6F4-831018AEDFF6}"/>
    <cellStyle name="Millares 36 5" xfId="3557" xr:uid="{4B66F05F-4C05-4417-B035-0E8A5F9E3CD6}"/>
    <cellStyle name="Millares 36 5 2" xfId="11125" xr:uid="{F4E29EF2-5B8D-4B97-A738-83F601329A2A}"/>
    <cellStyle name="Millares 36 6" xfId="8205" xr:uid="{B45C396C-4977-4CB2-8C9C-148B704E6EC4}"/>
    <cellStyle name="Millares 37" xfId="294" xr:uid="{5E7509AC-7CE1-41AE-AA3E-7C089634719D}"/>
    <cellStyle name="Millares 37 2" xfId="1130" xr:uid="{2E994009-4B2C-4E8B-B8C7-A3E177C27CB9}"/>
    <cellStyle name="Millares 37 2 2" xfId="4090" xr:uid="{475BD28E-0B1C-448E-9FA3-3ACC56C31732}"/>
    <cellStyle name="Millares 37 2 2 2" xfId="11658" xr:uid="{A21C976D-DB23-4DB2-9527-21EFC36635B7}"/>
    <cellStyle name="Millares 37 2 3" xfId="8738" xr:uid="{1AE61910-7EC7-4C50-9448-9C172E17D4C5}"/>
    <cellStyle name="Millares 37 3" xfId="1494" xr:uid="{FB7CC15D-6C35-4DF6-B9AC-2322E6501900}"/>
    <cellStyle name="Millares 37 3 2" xfId="4454" xr:uid="{B6CC79B3-9C79-4CD5-A9C0-882BBDC7BF34}"/>
    <cellStyle name="Millares 37 3 2 2" xfId="12022" xr:uid="{58ECCB59-D1D4-44C6-9AE7-96EBFBB456CF}"/>
    <cellStyle name="Millares 37 3 3" xfId="9102" xr:uid="{779B749C-4478-452D-84B4-10B36F6DC221}"/>
    <cellStyle name="Millares 37 4" xfId="1873" xr:uid="{24139890-1DB3-4B19-A52E-E40028551514}"/>
    <cellStyle name="Millares 37 4 2" xfId="4832" xr:uid="{7955B115-4533-4088-9F28-17C21BF50114}"/>
    <cellStyle name="Millares 37 4 2 2" xfId="12400" xr:uid="{65AE503D-5303-4331-8FEC-A94934F187A3}"/>
    <cellStyle name="Millares 37 4 3" xfId="9480" xr:uid="{9B6E4D96-7CF6-4FFB-AC53-6334CA2428C3}"/>
    <cellStyle name="Millares 37 5" xfId="3559" xr:uid="{EA51FB66-FA95-4918-9E26-B8AEEDE8552D}"/>
    <cellStyle name="Millares 37 5 2" xfId="11127" xr:uid="{231D9CF0-86B6-41CB-AEE9-6F483A794AAE}"/>
    <cellStyle name="Millares 37 6" xfId="8207" xr:uid="{28AB7634-1CF1-4AB7-A8F9-8558DC2FD4E3}"/>
    <cellStyle name="Millares 38" xfId="297" xr:uid="{6266F9E2-B0B3-468C-9964-652E07E8E611}"/>
    <cellStyle name="Millares 38 2" xfId="1132" xr:uid="{F8205418-9DAF-465D-B1C2-E7B98E713EC0}"/>
    <cellStyle name="Millares 38 2 2" xfId="4092" xr:uid="{91DBC39B-8DA9-453D-BB0E-C6AE5170CA22}"/>
    <cellStyle name="Millares 38 2 2 2" xfId="11660" xr:uid="{A7FC2EFF-5432-451F-9FA1-3BD7DBFFCACF}"/>
    <cellStyle name="Millares 38 2 3" xfId="8740" xr:uid="{6D892ED5-7CE2-4C32-8D5C-D886C19941F2}"/>
    <cellStyle name="Millares 38 3" xfId="1496" xr:uid="{6DCEEC44-5CAF-4B3A-996C-3B1FB0868419}"/>
    <cellStyle name="Millares 38 3 2" xfId="4456" xr:uid="{68F965CA-D676-47D1-B79E-4BC4F392D96B}"/>
    <cellStyle name="Millares 38 3 2 2" xfId="12024" xr:uid="{F2C317D7-2488-493F-AF39-16292CBDF3EA}"/>
    <cellStyle name="Millares 38 3 3" xfId="9104" xr:uid="{1870DA7B-83CB-48B6-909B-8EBD3554DC74}"/>
    <cellStyle name="Millares 38 4" xfId="1875" xr:uid="{A24735DC-3D40-49A6-9524-5CEE246B165D}"/>
    <cellStyle name="Millares 38 4 2" xfId="4834" xr:uid="{B03F58E6-D632-428E-B1CB-3BD97C5CDEA2}"/>
    <cellStyle name="Millares 38 4 2 2" xfId="12402" xr:uid="{164E5FCB-7871-440C-92F8-A98A45634084}"/>
    <cellStyle name="Millares 38 4 3" xfId="9482" xr:uid="{C5D416B8-610E-4E29-9927-8EEB8C47DB13}"/>
    <cellStyle name="Millares 38 5" xfId="3561" xr:uid="{17C0BA09-33A1-4EFF-9841-6AF277D48C13}"/>
    <cellStyle name="Millares 38 5 2" xfId="11129" xr:uid="{81AAFCF9-E3BD-43B0-AB82-03E1A7DA85DE}"/>
    <cellStyle name="Millares 38 6" xfId="8209" xr:uid="{5FFE3622-F88A-4FA8-87D3-F7D486EA288B}"/>
    <cellStyle name="Millares 39" xfId="300" xr:uid="{DA3A9CD8-872D-4EA9-A95E-C3F2644C7880}"/>
    <cellStyle name="Millares 39 2" xfId="1134" xr:uid="{42C9F1A8-EEB4-4BCD-B573-306A201CBEFB}"/>
    <cellStyle name="Millares 39 2 2" xfId="4094" xr:uid="{1772A4BB-FDD5-40EB-826A-48447703E610}"/>
    <cellStyle name="Millares 39 2 2 2" xfId="11662" xr:uid="{638B14AE-3D6A-4D5C-A3CE-7CCA16884739}"/>
    <cellStyle name="Millares 39 2 3" xfId="8742" xr:uid="{65ADEC7C-DE41-4332-97A7-4168B22CA818}"/>
    <cellStyle name="Millares 39 3" xfId="1498" xr:uid="{40011B44-F5DC-4E46-A4D7-D40D4412DE57}"/>
    <cellStyle name="Millares 39 3 2" xfId="4458" xr:uid="{33555B1F-F896-4D14-B094-C51C61E8E1FC}"/>
    <cellStyle name="Millares 39 3 2 2" xfId="12026" xr:uid="{47E92B60-E6FC-4B5C-80FD-89AD288F375C}"/>
    <cellStyle name="Millares 39 3 3" xfId="9106" xr:uid="{9B2CCCBD-68AA-40FE-9275-86F9BA31D9BB}"/>
    <cellStyle name="Millares 39 4" xfId="1877" xr:uid="{675472BD-AF7F-4F13-A0AD-0A0DEF4CB821}"/>
    <cellStyle name="Millares 39 4 2" xfId="4836" xr:uid="{E2266EAA-1B2B-43CF-A22D-C42A91342FA5}"/>
    <cellStyle name="Millares 39 4 2 2" xfId="12404" xr:uid="{7EF7898D-A2EA-48AE-929D-5FFD770C01A1}"/>
    <cellStyle name="Millares 39 4 3" xfId="9484" xr:uid="{80297DBC-FCBF-4AF2-A091-53EF593DB1C8}"/>
    <cellStyle name="Millares 39 5" xfId="3563" xr:uid="{6BFA971E-800E-4B57-B2CF-17B01D70C16B}"/>
    <cellStyle name="Millares 39 5 2" xfId="11131" xr:uid="{5E8A77F7-315D-47C4-BF6A-517E3BD8B060}"/>
    <cellStyle name="Millares 39 6" xfId="8211" xr:uid="{123BE1AC-F914-4226-82AC-CA454AB4993A}"/>
    <cellStyle name="Millares 4" xfId="165" xr:uid="{C508D0D4-980A-4B3A-AA5B-1EAE2DECE3E0}"/>
    <cellStyle name="Millares 4 10" xfId="3368" xr:uid="{A62803EC-A13D-4DFC-9DEA-430167A8F831}"/>
    <cellStyle name="Millares 4 10 2" xfId="6370" xr:uid="{4E635921-6062-4413-B6C6-DB9174558748}"/>
    <cellStyle name="Millares 4 10 2 2" xfId="13931" xr:uid="{063D06FA-C530-4CFE-8BE2-4EE3DB1004E5}"/>
    <cellStyle name="Millares 4 10 3" xfId="7774" xr:uid="{10059FA1-1286-4A73-A343-BDAE823E769C}"/>
    <cellStyle name="Millares 4 10 3 2" xfId="15303" xr:uid="{B1F87CD4-1FCD-4C30-81AF-9794F1A57719}"/>
    <cellStyle name="Millares 4 10 4" xfId="10948" xr:uid="{6C972D89-6D72-4C4B-B429-BDB0FE239209}"/>
    <cellStyle name="Millares 4 11" xfId="2373" xr:uid="{17BD705E-09F8-45D5-AD6F-A42DA827106F}"/>
    <cellStyle name="Millares 4 11 2" xfId="6506" xr:uid="{D1DFD3DD-4A07-49AF-BD67-4575554A5F0E}"/>
    <cellStyle name="Millares 4 11 2 2" xfId="14062" xr:uid="{F145B635-009C-4DD4-887B-8912C32E1AF6}"/>
    <cellStyle name="Millares 4 11 3" xfId="7905" xr:uid="{5EBF0455-9CD1-4184-BC15-5B844AD3335C}"/>
    <cellStyle name="Millares 4 11 3 2" xfId="15434" xr:uid="{8E1B4BC8-A4FA-4B9E-BE7C-0C3AB3346DC7}"/>
    <cellStyle name="Millares 4 11 4" xfId="9963" xr:uid="{AFBBCDEB-398A-4A90-8B68-9EB25E19155B}"/>
    <cellStyle name="Millares 4 12" xfId="3474" xr:uid="{9E1FC866-DB54-452B-80FC-EFBA1FCE19A2}"/>
    <cellStyle name="Millares 4 12 2" xfId="11042" xr:uid="{682CDFAC-4D4C-4DE7-A40D-CC2A868C8B4C}"/>
    <cellStyle name="Millares 4 13" xfId="5385" xr:uid="{DD1FBFFC-9699-45E3-A426-559EE0E72935}"/>
    <cellStyle name="Millares 4 13 2" xfId="12946" xr:uid="{C73DB71A-EFD3-4248-AE2A-B121BB4586B6}"/>
    <cellStyle name="Millares 4 14" xfId="6789" xr:uid="{3AFF2B91-0DE9-4E0A-A8F8-4965CC87E7AA}"/>
    <cellStyle name="Millares 4 14 2" xfId="14318" xr:uid="{FABE23A1-A96B-4FD8-AF1D-AADB3B489ACB}"/>
    <cellStyle name="Millares 4 15" xfId="8122" xr:uid="{5D2621CF-A6DC-43CC-ABEC-BAFED39052A9}"/>
    <cellStyle name="Millares 4 2" xfId="201" xr:uid="{E98CC664-253C-4A83-B740-A10EA4295195}"/>
    <cellStyle name="Millares 4 2 10" xfId="2433" xr:uid="{21BF16D3-9FA6-4ECF-8962-714B1C5F8384}"/>
    <cellStyle name="Millares 4 2 10 2" xfId="6564" xr:uid="{E9CB1EC6-8B82-4065-A569-0D278E8AEFBF}"/>
    <cellStyle name="Millares 4 2 10 2 2" xfId="14120" xr:uid="{30EF0FF4-CEEF-426A-83C5-AB46E30BD256}"/>
    <cellStyle name="Millares 4 2 10 3" xfId="7963" xr:uid="{666E89B3-B36A-4841-AF88-94A9B6209A3B}"/>
    <cellStyle name="Millares 4 2 10 3 2" xfId="15492" xr:uid="{6590AA72-D45F-4591-8828-B66A827D493F}"/>
    <cellStyle name="Millares 4 2 10 4" xfId="10021" xr:uid="{AEE0B098-C3F3-4362-A264-84C492C080C4}"/>
    <cellStyle name="Millares 4 2 11" xfId="3499" xr:uid="{448CC576-7A09-419A-A4B8-8F46115CF457}"/>
    <cellStyle name="Millares 4 2 11 2" xfId="11067" xr:uid="{C7455980-4A31-4F94-BA8E-468FEE322F34}"/>
    <cellStyle name="Millares 4 2 12" xfId="5443" xr:uid="{E423987A-FECE-4AF5-B2E3-8B58D1F11B6D}"/>
    <cellStyle name="Millares 4 2 12 2" xfId="13004" xr:uid="{18C57D58-D9E9-4160-9ADE-5D7A62C44CAE}"/>
    <cellStyle name="Millares 4 2 13" xfId="6847" xr:uid="{D82CD130-150D-4715-89AC-5A731B82EBB0}"/>
    <cellStyle name="Millares 4 2 13 2" xfId="14376" xr:uid="{DFE5C215-73C1-4CA1-ACAD-EC6619470A14}"/>
    <cellStyle name="Millares 4 2 14" xfId="8147" xr:uid="{37DE7A17-D238-41BC-8B9C-EAA5C9284350}"/>
    <cellStyle name="Millares 4 2 2" xfId="2557" xr:uid="{5BFF74E7-CA59-4E47-A7D4-1483BEBEC0FA}"/>
    <cellStyle name="Millares 4 2 2 2" xfId="6699" xr:uid="{F1E2BBFE-49B4-4395-99A4-3A92D2361E8F}"/>
    <cellStyle name="Millares 4 2 2 2 2" xfId="8085" xr:uid="{AA5E9C52-F31F-426D-A898-EACD399974A7}"/>
    <cellStyle name="Millares 4 2 2 2 2 2" xfId="15614" xr:uid="{FD7936B8-98C0-4FD4-9252-9D0316CB23AC}"/>
    <cellStyle name="Millares 4 2 2 2 3" xfId="14242" xr:uid="{28FD90FE-2BC9-434A-8DD2-831C75A9CA41}"/>
    <cellStyle name="Millares 4 2 2 3" xfId="5563" xr:uid="{443CD6D7-CE52-4EB3-B296-63CE680DE961}"/>
    <cellStyle name="Millares 4 2 2 3 2" xfId="13124" xr:uid="{0FF12BFA-BB95-4A03-994A-35C861CDE13E}"/>
    <cellStyle name="Millares 4 2 2 4" xfId="6967" xr:uid="{8CF8F71E-E293-491D-A54B-6E6FAB932DC5}"/>
    <cellStyle name="Millares 4 2 2 4 2" xfId="14496" xr:uid="{75D46093-9DCC-4546-935B-C6F59A49FA1A}"/>
    <cellStyle name="Millares 4 2 2 5" xfId="10141" xr:uid="{5B417E71-E925-47F7-99A1-E78669296153}"/>
    <cellStyle name="Millares 4 2 3" xfId="2678" xr:uid="{0C43A117-6C9D-4A1B-8B59-322D15302562}"/>
    <cellStyle name="Millares 4 2 3 2" xfId="5683" xr:uid="{5A978785-A8C3-43C9-8E2A-2E4BCBF98161}"/>
    <cellStyle name="Millares 4 2 3 2 2" xfId="13244" xr:uid="{529BA640-82CA-4A9B-A32A-61A9FB66C065}"/>
    <cellStyle name="Millares 4 2 3 3" xfId="7087" xr:uid="{710D8083-2C8B-4A60-9786-0BB175C51808}"/>
    <cellStyle name="Millares 4 2 3 3 2" xfId="14616" xr:uid="{FCCE7855-0964-4334-8FF3-2B8F0E8ADAC7}"/>
    <cellStyle name="Millares 4 2 3 4" xfId="10261" xr:uid="{631E4159-B437-4CE1-9D85-09CE2BB04D22}"/>
    <cellStyle name="Millares 4 2 4" xfId="2800" xr:uid="{A8B0817E-36FC-48D7-88E0-A71299FEA5C7}"/>
    <cellStyle name="Millares 4 2 4 2" xfId="5805" xr:uid="{F52D4A4E-3863-48E9-A639-5F1F765BC5E5}"/>
    <cellStyle name="Millares 4 2 4 2 2" xfId="13366" xr:uid="{E28441C0-391D-402D-B677-92E599C76E02}"/>
    <cellStyle name="Millares 4 2 4 3" xfId="7209" xr:uid="{EFF8D8CE-D8A0-4861-8103-344EDB0F2C4A}"/>
    <cellStyle name="Millares 4 2 4 3 2" xfId="14738" xr:uid="{2DEEDD13-E16E-42B6-8976-5CA1EF2BF12A}"/>
    <cellStyle name="Millares 4 2 4 4" xfId="10383" xr:uid="{793BC185-1745-4C6D-B273-4D00A508FCD8}"/>
    <cellStyle name="Millares 4 2 5" xfId="2925" xr:uid="{EF429C74-05C5-409C-AD38-7FF45A27B1D7}"/>
    <cellStyle name="Millares 4 2 5 2" xfId="5929" xr:uid="{6238FA89-5655-4581-9CDF-8696BEA9EB4E}"/>
    <cellStyle name="Millares 4 2 5 2 2" xfId="13490" xr:uid="{4F9FC3C2-F6D1-41EF-B3EF-E1875A7E9303}"/>
    <cellStyle name="Millares 4 2 5 3" xfId="7333" xr:uid="{9D874C6B-8465-42D6-BB3C-63AD0D835627}"/>
    <cellStyle name="Millares 4 2 5 3 2" xfId="14862" xr:uid="{0BD483C2-4EDF-468E-83CC-D5C6FDD90BD6}"/>
    <cellStyle name="Millares 4 2 5 4" xfId="10507" xr:uid="{CE79AF2B-2F03-4545-8F92-29972AAF96B1}"/>
    <cellStyle name="Millares 4 2 6" xfId="3049" xr:uid="{C35CB98C-791E-439E-8E42-DC377BC6805F}"/>
    <cellStyle name="Millares 4 2 6 2" xfId="6053" xr:uid="{270301EA-F54A-41D5-8D46-0933A5D86BBE}"/>
    <cellStyle name="Millares 4 2 6 2 2" xfId="13614" xr:uid="{BF561ADF-594B-488C-BEA8-CAE5F5FC8304}"/>
    <cellStyle name="Millares 4 2 6 3" xfId="7457" xr:uid="{9075B8B5-E7BD-4062-9E77-6692A59B916F}"/>
    <cellStyle name="Millares 4 2 6 3 2" xfId="14986" xr:uid="{C6327B5D-B3A6-476D-83FA-203E48C2C93F}"/>
    <cellStyle name="Millares 4 2 6 4" xfId="10631" xr:uid="{1FE543B6-88E4-4F8E-B1F2-DAA8133AFB3E}"/>
    <cellStyle name="Millares 4 2 7" xfId="3173" xr:uid="{3EAA66E5-4FEC-46C8-BCBF-366FD2758AEE}"/>
    <cellStyle name="Millares 4 2 7 2" xfId="6177" xr:uid="{A2565C7E-3D1B-45A0-B26B-F221FC828B7F}"/>
    <cellStyle name="Millares 4 2 7 2 2" xfId="13738" xr:uid="{A5A91C95-84C3-4A80-A4D2-61AC135CA331}"/>
    <cellStyle name="Millares 4 2 7 3" xfId="7581" xr:uid="{3B512CE6-FCD7-4359-974F-759C63CFBAAF}"/>
    <cellStyle name="Millares 4 2 7 3 2" xfId="15110" xr:uid="{6E94F847-9E8F-43AC-BBA2-A1543191D430}"/>
    <cellStyle name="Millares 4 2 7 4" xfId="10755" xr:uid="{D5BAC49D-6148-4749-B4C6-79E48405E40E}"/>
    <cellStyle name="Millares 4 2 8" xfId="3298" xr:uid="{167840EC-945A-4AD6-B882-147DBCA1BC85}"/>
    <cellStyle name="Millares 4 2 8 2" xfId="6302" xr:uid="{028963D4-BFEB-4EC9-A78B-0F50CA6A853D}"/>
    <cellStyle name="Millares 4 2 8 2 2" xfId="13863" xr:uid="{A629BFE3-98E4-41CD-A22D-EAC86646BCAB}"/>
    <cellStyle name="Millares 4 2 8 3" xfId="7706" xr:uid="{05974011-9999-44CE-84F4-B9FDAEE61A71}"/>
    <cellStyle name="Millares 4 2 8 3 2" xfId="15235" xr:uid="{723F2A3E-77A4-44D3-A7E2-705B831A2E3B}"/>
    <cellStyle name="Millares 4 2 8 4" xfId="10880" xr:uid="{9E90A554-73D6-4C18-8575-99D8AEBF424B}"/>
    <cellStyle name="Millares 4 2 9" xfId="3426" xr:uid="{5317CF82-482B-4882-85F6-1A3C95829C68}"/>
    <cellStyle name="Millares 4 2 9 2" xfId="6428" xr:uid="{3312D887-E4FC-4261-A547-55C44917A064}"/>
    <cellStyle name="Millares 4 2 9 2 2" xfId="13989" xr:uid="{F7E0EAC1-BEC5-42FD-82F4-2F5351F32F65}"/>
    <cellStyle name="Millares 4 2 9 3" xfId="7832" xr:uid="{ADFD651B-CDDA-4DDC-A4A1-6BC7F2CB4867}"/>
    <cellStyle name="Millares 4 2 9 3 2" xfId="15361" xr:uid="{8CA42843-C876-4D78-A224-B27CB9DDA407}"/>
    <cellStyle name="Millares 4 2 9 4" xfId="11006" xr:uid="{D9A7DD88-1AC9-423B-8146-98F2EAE60BD6}"/>
    <cellStyle name="Millares 4 3" xfId="1064" xr:uid="{7489A249-15DD-4E1C-9C6D-EFFFDBDEB809}"/>
    <cellStyle name="Millares 4 3 2" xfId="2499" xr:uid="{7DA6B150-CC3E-44BA-8F4A-868259D20287}"/>
    <cellStyle name="Millares 4 3 2 2" xfId="6641" xr:uid="{F8ECCE4A-8403-4610-A976-67304BEAD3CE}"/>
    <cellStyle name="Millares 4 3 2 2 2" xfId="14184" xr:uid="{D3AE0A4F-90DA-4957-82DF-D7D7B5B3E238}"/>
    <cellStyle name="Millares 4 3 2 3" xfId="8027" xr:uid="{B1D43071-7EE5-4FB0-853D-C2C2EC3784BA}"/>
    <cellStyle name="Millares 4 3 2 3 2" xfId="15556" xr:uid="{D503EEE5-20D6-458A-BB84-008441652107}"/>
    <cellStyle name="Millares 4 3 2 4" xfId="10083" xr:uid="{62801CD6-EC96-4346-95CA-9B6BE4B6775A}"/>
    <cellStyle name="Millares 4 3 3" xfId="4024" xr:uid="{F7780DFD-F6BB-4217-ABA4-19FC7A8EE605}"/>
    <cellStyle name="Millares 4 3 3 2" xfId="11592" xr:uid="{1754552C-64A6-4C73-98EA-D1C2BF5887DF}"/>
    <cellStyle name="Millares 4 3 4" xfId="5505" xr:uid="{01D2145E-2343-482D-A6EB-D031F2D50AD2}"/>
    <cellStyle name="Millares 4 3 4 2" xfId="13066" xr:uid="{ACAEF28E-2597-4570-A23D-632DF7AF4C58}"/>
    <cellStyle name="Millares 4 3 5" xfId="6909" xr:uid="{63994885-0D20-4E27-80FD-EB0E9E19B4C7}"/>
    <cellStyle name="Millares 4 3 5 2" xfId="14438" xr:uid="{FCC533F5-7DC0-4F3C-8A14-714991B902B6}"/>
    <cellStyle name="Millares 4 3 6" xfId="8672" xr:uid="{313F4D1F-9D05-4E84-88B2-BE8C4C8B9B5D}"/>
    <cellStyle name="Millares 4 4" xfId="1428" xr:uid="{3CFD4BD0-88DF-4396-B318-C921F9DBCB86}"/>
    <cellStyle name="Millares 4 4 2" xfId="2620" xr:uid="{989EA477-9DA4-43FF-9BA3-F601AF0C520E}"/>
    <cellStyle name="Millares 4 4 2 2" xfId="10203" xr:uid="{7D03E1BC-BEE0-4445-9F7A-3A40D6E0AF6F}"/>
    <cellStyle name="Millares 4 4 3" xfId="4388" xr:uid="{4C74BB7B-50A0-4B37-9FE1-84B57BDDE15C}"/>
    <cellStyle name="Millares 4 4 3 2" xfId="11956" xr:uid="{7B02F183-6A65-4797-8327-A23B68247FA6}"/>
    <cellStyle name="Millares 4 4 4" xfId="5625" xr:uid="{6775344D-AB8E-4742-A29B-E145EADE2E5A}"/>
    <cellStyle name="Millares 4 4 4 2" xfId="13186" xr:uid="{25A1C1DC-2D45-406F-84AC-591742D0087E}"/>
    <cellStyle name="Millares 4 4 5" xfId="7029" xr:uid="{EBE307E0-5130-4EC1-A5D8-8CD4A1BB119D}"/>
    <cellStyle name="Millares 4 4 5 2" xfId="14558" xr:uid="{09E9A43A-6867-40E2-B3CF-F1F44A43F4F6}"/>
    <cellStyle name="Millares 4 4 6" xfId="9036" xr:uid="{9D08D700-2C6E-4AFD-AF59-BE6AA8BD190F}"/>
    <cellStyle name="Millares 4 5" xfId="1807" xr:uid="{A4EC45EB-52D2-488B-9D24-804C80D5A42F}"/>
    <cellStyle name="Millares 4 5 2" xfId="2742" xr:uid="{97C23CBD-70B3-46B6-A1F8-590F31AC0F04}"/>
    <cellStyle name="Millares 4 5 2 2" xfId="10325" xr:uid="{7CE6F8A4-4E67-4758-8380-F1DD708EBC1E}"/>
    <cellStyle name="Millares 4 5 3" xfId="4766" xr:uid="{2851AD6F-2BEE-4B7C-83DC-29F0F27A6727}"/>
    <cellStyle name="Millares 4 5 3 2" xfId="12334" xr:uid="{213DAEDB-7522-45DE-B82D-E823F13ABFA8}"/>
    <cellStyle name="Millares 4 5 4" xfId="5747" xr:uid="{C73F2BDD-4B44-42F4-8D58-0F205A341984}"/>
    <cellStyle name="Millares 4 5 4 2" xfId="13308" xr:uid="{BF916A67-7702-4C2C-8051-EA82018CCEA0}"/>
    <cellStyle name="Millares 4 5 5" xfId="7151" xr:uid="{52E2FBE7-7FE1-4DAD-8710-048852AF0EA3}"/>
    <cellStyle name="Millares 4 5 5 2" xfId="14680" xr:uid="{60F10F0D-F9B3-4526-8388-C52711185127}"/>
    <cellStyle name="Millares 4 5 6" xfId="9414" xr:uid="{E0C39BBB-F646-4533-95B5-96B48C49D47B}"/>
    <cellStyle name="Millares 4 6" xfId="2867" xr:uid="{832708AC-7F50-4E31-9055-7B3EC3B48A8D}"/>
    <cellStyle name="Millares 4 6 2" xfId="5871" xr:uid="{F3341079-892F-4627-8D11-788E8A537B35}"/>
    <cellStyle name="Millares 4 6 2 2" xfId="13432" xr:uid="{A8CE6F3C-5884-46A5-AE19-380515E5C7FB}"/>
    <cellStyle name="Millares 4 6 3" xfId="7275" xr:uid="{F58A24B1-4AAE-4DFB-99FA-9EFB9083CFE9}"/>
    <cellStyle name="Millares 4 6 3 2" xfId="14804" xr:uid="{B75DEE13-4623-4629-8A55-4E021D988A3E}"/>
    <cellStyle name="Millares 4 6 4" xfId="10449" xr:uid="{206D1B9B-51B7-4E61-8DE3-547FD2B4D3AA}"/>
    <cellStyle name="Millares 4 7" xfId="2991" xr:uid="{07721F94-772C-49C9-90A8-26A1511A4230}"/>
    <cellStyle name="Millares 4 7 2" xfId="5995" xr:uid="{2B115EBA-52BD-48B1-AFF8-76BB33C63DCE}"/>
    <cellStyle name="Millares 4 7 2 2" xfId="13556" xr:uid="{4E1110C3-94DC-4DB5-B7C9-79A40880E55D}"/>
    <cellStyle name="Millares 4 7 3" xfId="7399" xr:uid="{94C43657-2060-40E2-97B1-6AE5C52B5855}"/>
    <cellStyle name="Millares 4 7 3 2" xfId="14928" xr:uid="{D08A8290-0230-4036-A601-E7FFAE8EB78D}"/>
    <cellStyle name="Millares 4 7 4" xfId="10573" xr:uid="{E3C3C689-FB9B-4967-B208-3B7242408A0C}"/>
    <cellStyle name="Millares 4 8" xfId="3115" xr:uid="{985DC21F-9BE1-428D-A5F9-0AFD14FF9311}"/>
    <cellStyle name="Millares 4 8 2" xfId="6119" xr:uid="{AF773AC8-74CF-4F7D-8A1A-3D916F979CDB}"/>
    <cellStyle name="Millares 4 8 2 2" xfId="13680" xr:uid="{37252836-65DB-4506-9E54-63F40128B005}"/>
    <cellStyle name="Millares 4 8 3" xfId="7523" xr:uid="{5C1189E6-EA0A-485A-8EFD-1D1ACCF295A5}"/>
    <cellStyle name="Millares 4 8 3 2" xfId="15052" xr:uid="{747F998E-D74F-4DB3-B37A-72155815D0BE}"/>
    <cellStyle name="Millares 4 8 4" xfId="10697" xr:uid="{91AE8819-405C-4775-B21E-1001C70571BA}"/>
    <cellStyle name="Millares 4 9" xfId="3240" xr:uid="{5AC00B85-5504-4BA3-B44B-AEFEC9C0B944}"/>
    <cellStyle name="Millares 4 9 2" xfId="6244" xr:uid="{973A318A-AFBF-41E7-B8F1-457DC68FF6C3}"/>
    <cellStyle name="Millares 4 9 2 2" xfId="13805" xr:uid="{E319BC00-FDB5-41C9-96F6-7B8072F4A4B3}"/>
    <cellStyle name="Millares 4 9 3" xfId="7648" xr:uid="{6A801632-6C46-496A-8AA3-6931441908A1}"/>
    <cellStyle name="Millares 4 9 3 2" xfId="15177" xr:uid="{4CB2A8EF-8505-48A0-8CA8-8163C93BBC35}"/>
    <cellStyle name="Millares 4 9 4" xfId="10822" xr:uid="{8686C320-F31E-428E-BB01-8B4062B6D076}"/>
    <cellStyle name="Millares 40" xfId="303" xr:uid="{2FD19EC2-657F-4DB3-8A7F-84F9060A1C54}"/>
    <cellStyle name="Millares 40 2" xfId="1136" xr:uid="{B486D015-A1F0-4572-A848-850131D3B686}"/>
    <cellStyle name="Millares 40 2 2" xfId="4096" xr:uid="{78288540-A386-4BF6-AD9C-5DC8E877614F}"/>
    <cellStyle name="Millares 40 2 2 2" xfId="11664" xr:uid="{0A5E8C79-0753-433F-85A7-EC37E8C111DF}"/>
    <cellStyle name="Millares 40 2 3" xfId="8744" xr:uid="{BE25BE76-EC58-41C6-B17D-5410A3B50636}"/>
    <cellStyle name="Millares 40 3" xfId="1500" xr:uid="{CCE9569C-E21E-4C7B-B18C-C9C5DFACE382}"/>
    <cellStyle name="Millares 40 3 2" xfId="4460" xr:uid="{667B4C0E-4DE9-4456-870C-B69E1394DBE1}"/>
    <cellStyle name="Millares 40 3 2 2" xfId="12028" xr:uid="{E037CDF9-61BA-43A2-B1D1-1C5439B08122}"/>
    <cellStyle name="Millares 40 3 3" xfId="9108" xr:uid="{9A776943-1CFA-4B1F-A8B6-1A2AE44C2596}"/>
    <cellStyle name="Millares 40 4" xfId="1879" xr:uid="{824C42F5-897E-4DB0-ACF8-4E5E3EB87A82}"/>
    <cellStyle name="Millares 40 4 2" xfId="4838" xr:uid="{0303A430-D59A-4CDC-B775-7491771BB802}"/>
    <cellStyle name="Millares 40 4 2 2" xfId="12406" xr:uid="{82A7AFF1-2A7A-473F-9970-46E97F6734C8}"/>
    <cellStyle name="Millares 40 4 3" xfId="9486" xr:uid="{09137331-5145-4577-A002-A14740BA5A10}"/>
    <cellStyle name="Millares 40 5" xfId="3565" xr:uid="{02C3AAE1-6639-44AF-BA17-980CFFC8DAF1}"/>
    <cellStyle name="Millares 40 5 2" xfId="11133" xr:uid="{F3CB5388-E4ED-4B39-B5C3-57CFA3DEA49B}"/>
    <cellStyle name="Millares 40 6" xfId="8213" xr:uid="{52457A06-50B7-4231-86A5-565B99F41703}"/>
    <cellStyle name="Millares 41" xfId="306" xr:uid="{7CAF8E8D-50FA-4C5B-8625-94901737C40A}"/>
    <cellStyle name="Millares 41 2" xfId="1138" xr:uid="{0EEC0D5D-CBBC-42E2-A280-8B66C6F1AB45}"/>
    <cellStyle name="Millares 41 2 2" xfId="4098" xr:uid="{E4B8999F-4960-441F-8290-9356A9CE3D06}"/>
    <cellStyle name="Millares 41 2 2 2" xfId="11666" xr:uid="{F04E204D-6022-4BB8-9513-E9FCCBFD65AD}"/>
    <cellStyle name="Millares 41 2 3" xfId="8746" xr:uid="{203FE9DC-8E7E-4724-89FE-C68D6BA2FD3B}"/>
    <cellStyle name="Millares 41 3" xfId="1502" xr:uid="{837587BB-C347-4BDB-80E1-09D5FD2A882B}"/>
    <cellStyle name="Millares 41 3 2" xfId="4462" xr:uid="{FDEBFE32-427B-446C-BE89-88C5535BEFA0}"/>
    <cellStyle name="Millares 41 3 2 2" xfId="12030" xr:uid="{CD3DC41A-6A09-4F66-87D5-2CF02353685B}"/>
    <cellStyle name="Millares 41 3 3" xfId="9110" xr:uid="{B5846726-E5BF-4831-9FFC-D5605BD21F0B}"/>
    <cellStyle name="Millares 41 4" xfId="1881" xr:uid="{9452EBF3-4E16-4BA8-B371-A504D71FFACB}"/>
    <cellStyle name="Millares 41 4 2" xfId="4840" xr:uid="{6F085FD3-C9B7-4850-BFD3-D114A3EFD516}"/>
    <cellStyle name="Millares 41 4 2 2" xfId="12408" xr:uid="{3F89B01B-F6EC-4374-9A94-49B1340FF38F}"/>
    <cellStyle name="Millares 41 4 3" xfId="9488" xr:uid="{0073B6DC-2B37-45D5-ADCF-EC20BF7B1B59}"/>
    <cellStyle name="Millares 41 5" xfId="3567" xr:uid="{7BDF0DCF-564C-43C4-8D32-66F244E0130E}"/>
    <cellStyle name="Millares 41 5 2" xfId="11135" xr:uid="{356D891C-75F3-4473-B186-62970F16512A}"/>
    <cellStyle name="Millares 41 6" xfId="8215" xr:uid="{905B67C4-3BF2-407E-A65D-9B5CF1A096F4}"/>
    <cellStyle name="Millares 42" xfId="309" xr:uid="{62B7DC7C-08C9-499C-8820-9C2CC2570ED0}"/>
    <cellStyle name="Millares 42 2" xfId="1140" xr:uid="{DEBCDC0E-72F3-403A-A285-E583C16FCAD5}"/>
    <cellStyle name="Millares 42 2 2" xfId="4100" xr:uid="{A31E2B4A-11C6-4D68-8E3E-649E93F28CBC}"/>
    <cellStyle name="Millares 42 2 2 2" xfId="11668" xr:uid="{C72D48E3-86A4-4D7E-8909-0E625F3BADA7}"/>
    <cellStyle name="Millares 42 2 3" xfId="8748" xr:uid="{8ED95697-06C1-4695-839F-870F429F4E81}"/>
    <cellStyle name="Millares 42 3" xfId="1504" xr:uid="{CA99918B-0E10-475C-A81D-E9671C1F2BE1}"/>
    <cellStyle name="Millares 42 3 2" xfId="4464" xr:uid="{A99AD649-74EE-455D-8306-D91A198356FF}"/>
    <cellStyle name="Millares 42 3 2 2" xfId="12032" xr:uid="{3E601A56-6CCD-429A-9EB9-0AE95A79E174}"/>
    <cellStyle name="Millares 42 3 3" xfId="9112" xr:uid="{C268883A-53A9-4AB6-B2CE-D8ECA20264D6}"/>
    <cellStyle name="Millares 42 4" xfId="1883" xr:uid="{E7ADB3EC-2A68-465F-9A5C-93CC42A1DFAB}"/>
    <cellStyle name="Millares 42 4 2" xfId="4842" xr:uid="{51FD10E9-776D-48DE-AB5C-E8F491446AA7}"/>
    <cellStyle name="Millares 42 4 2 2" xfId="12410" xr:uid="{BA81650A-5976-447A-9576-03B5F0FB8D8D}"/>
    <cellStyle name="Millares 42 4 3" xfId="9490" xr:uid="{51CCE59A-E451-4A47-88D8-1549E64FCDC8}"/>
    <cellStyle name="Millares 42 5" xfId="3569" xr:uid="{4EF4DD68-FDF4-48FC-9CA6-88DB14A3E2A0}"/>
    <cellStyle name="Millares 42 5 2" xfId="11137" xr:uid="{65800CBF-A476-441A-94EC-814AAB8F42D0}"/>
    <cellStyle name="Millares 42 6" xfId="8217" xr:uid="{64D908A6-FA74-4F1D-9F22-A2C96745198B}"/>
    <cellStyle name="Millares 43" xfId="312" xr:uid="{FDE14BD8-B484-4B42-B6C8-3FE2D7D17C15}"/>
    <cellStyle name="Millares 43 2" xfId="1142" xr:uid="{63D4C091-C9AC-442E-91F2-F8163599ED11}"/>
    <cellStyle name="Millares 43 2 2" xfId="4102" xr:uid="{8D81E7E8-0F02-4023-8332-81F18D9BA919}"/>
    <cellStyle name="Millares 43 2 2 2" xfId="11670" xr:uid="{437D3B2C-2836-415C-943A-7A3DFBBD8B51}"/>
    <cellStyle name="Millares 43 2 3" xfId="8750" xr:uid="{4F4AC5D8-BD8B-4D8D-8738-6CB39B9C5F82}"/>
    <cellStyle name="Millares 43 3" xfId="1506" xr:uid="{C52CE51F-274B-472F-B9AE-F7806EFD092C}"/>
    <cellStyle name="Millares 43 3 2" xfId="4466" xr:uid="{03AB61BD-2081-44CA-A75A-959D6D1516D7}"/>
    <cellStyle name="Millares 43 3 2 2" xfId="12034" xr:uid="{38D5354F-5DF0-493C-8A31-6044A11E4D12}"/>
    <cellStyle name="Millares 43 3 3" xfId="9114" xr:uid="{065BEEAD-2E23-44EA-BD1C-313882A7467F}"/>
    <cellStyle name="Millares 43 4" xfId="1885" xr:uid="{863FC1D9-5A8B-4E42-A545-DDD102C99EAB}"/>
    <cellStyle name="Millares 43 4 2" xfId="4844" xr:uid="{533B2C9E-429B-4CF2-8989-8579ED745372}"/>
    <cellStyle name="Millares 43 4 2 2" xfId="12412" xr:uid="{24C762B2-74B6-4425-AE86-5EE1BB43247B}"/>
    <cellStyle name="Millares 43 4 3" xfId="9492" xr:uid="{69063AA4-F730-4CFF-91B9-B2AF08AA6441}"/>
    <cellStyle name="Millares 43 5" xfId="3571" xr:uid="{C7D08FBF-B339-4467-88C7-607B9B96FD5B}"/>
    <cellStyle name="Millares 43 5 2" xfId="11139" xr:uid="{CB214DA6-EFB8-46B1-8003-E7EC9117FF33}"/>
    <cellStyle name="Millares 43 6" xfId="8219" xr:uid="{BC4A9511-DE52-44F6-8C3C-F667F488D286}"/>
    <cellStyle name="Millares 44" xfId="315" xr:uid="{6C6B855E-B726-4F67-8A15-620C9282278E}"/>
    <cellStyle name="Millares 44 2" xfId="1144" xr:uid="{C73B4A0E-5FB8-4507-87E5-4A0801048385}"/>
    <cellStyle name="Millares 44 2 2" xfId="4104" xr:uid="{36535692-CE8A-493B-B4B9-45EF665D2829}"/>
    <cellStyle name="Millares 44 2 2 2" xfId="11672" xr:uid="{EBA2E86D-5227-467F-82A6-25C783998ADE}"/>
    <cellStyle name="Millares 44 2 3" xfId="8752" xr:uid="{82EA20BC-617E-411F-BE80-F63B13211C83}"/>
    <cellStyle name="Millares 44 3" xfId="1508" xr:uid="{1BA01EE2-8BA5-4357-A7CC-529521D9F2AC}"/>
    <cellStyle name="Millares 44 3 2" xfId="4468" xr:uid="{91108D3C-A243-431B-8FDF-3BC581E0EB38}"/>
    <cellStyle name="Millares 44 3 2 2" xfId="12036" xr:uid="{49C9D078-3A28-4078-8C00-22C9708E99E2}"/>
    <cellStyle name="Millares 44 3 3" xfId="9116" xr:uid="{BB186B7F-23E0-4204-A8C1-077AC85042FD}"/>
    <cellStyle name="Millares 44 4" xfId="1887" xr:uid="{4A8BCDEE-D394-4AF0-A18B-4751BFAFE622}"/>
    <cellStyle name="Millares 44 4 2" xfId="4846" xr:uid="{B04E4FF1-EE2E-42AE-ABA6-1B09ED29C488}"/>
    <cellStyle name="Millares 44 4 2 2" xfId="12414" xr:uid="{26FC90FB-2A14-4745-99EA-E9734CD04568}"/>
    <cellStyle name="Millares 44 4 3" xfId="9494" xr:uid="{EB537E30-97D9-4E32-9BC0-0106399E92AD}"/>
    <cellStyle name="Millares 44 5" xfId="3573" xr:uid="{3621FB13-D020-447F-8E3F-F4DC8A618FAC}"/>
    <cellStyle name="Millares 44 5 2" xfId="11141" xr:uid="{83A22591-2E14-4B1F-94BF-A1BB5DBE1134}"/>
    <cellStyle name="Millares 44 6" xfId="8221" xr:uid="{B07A0A90-8C0D-40C5-9137-2FCBBC22B934}"/>
    <cellStyle name="Millares 45" xfId="318" xr:uid="{CCEA0EF6-3DC1-46A7-B935-9173BF9DF5D7}"/>
    <cellStyle name="Millares 45 2" xfId="1146" xr:uid="{45F0EF76-1F4C-44A6-B971-1567AC504E8F}"/>
    <cellStyle name="Millares 45 2 2" xfId="4106" xr:uid="{CD3D2B47-90D4-4A47-AC72-E69D6E3AA3B7}"/>
    <cellStyle name="Millares 45 2 2 2" xfId="11674" xr:uid="{648A33D1-CC7C-476A-B393-E1D1B616C365}"/>
    <cellStyle name="Millares 45 2 3" xfId="8754" xr:uid="{BB101690-2BF2-416B-88A1-DA0EC18C5218}"/>
    <cellStyle name="Millares 45 3" xfId="1510" xr:uid="{49C754B9-5B6F-4EFF-B1CC-39AA7AE62F40}"/>
    <cellStyle name="Millares 45 3 2" xfId="4470" xr:uid="{E43D12B4-C6A1-4B0F-9746-4EEACEEFC940}"/>
    <cellStyle name="Millares 45 3 2 2" xfId="12038" xr:uid="{7CF84213-0557-463F-B1F3-2ED32487F8F1}"/>
    <cellStyle name="Millares 45 3 3" xfId="9118" xr:uid="{CAEBFEC6-7681-4C7F-BE55-46B9273AB8A7}"/>
    <cellStyle name="Millares 45 4" xfId="1889" xr:uid="{1D723832-0BD6-4C0D-A7DF-9F1CF8FEF663}"/>
    <cellStyle name="Millares 45 4 2" xfId="4848" xr:uid="{F4476B9B-A602-414C-A755-B63D3DB15589}"/>
    <cellStyle name="Millares 45 4 2 2" xfId="12416" xr:uid="{155FB34D-2715-4854-92B4-6429BB43E40D}"/>
    <cellStyle name="Millares 45 4 3" xfId="9496" xr:uid="{026C2025-95AD-4286-B055-9963D1552177}"/>
    <cellStyle name="Millares 45 5" xfId="3575" xr:uid="{084820BF-1A42-4764-BD18-31B914B8972E}"/>
    <cellStyle name="Millares 45 5 2" xfId="11143" xr:uid="{E3403BCE-FAC0-4495-9E74-4F2BAFD50E41}"/>
    <cellStyle name="Millares 45 6" xfId="8223" xr:uid="{4FC0B473-0DC2-44A8-8110-6C288CAC67F3}"/>
    <cellStyle name="Millares 46" xfId="321" xr:uid="{67228E47-1DAA-4441-8310-0B63B1EE517E}"/>
    <cellStyle name="Millares 46 2" xfId="1148" xr:uid="{9E252BC9-691D-41A3-B9B6-23E840EE7EDB}"/>
    <cellStyle name="Millares 46 2 2" xfId="4108" xr:uid="{F4869396-4864-4941-B301-E6B0430D171B}"/>
    <cellStyle name="Millares 46 2 2 2" xfId="11676" xr:uid="{B4A81BBF-6EF8-482E-B3E0-4C585CEA80F8}"/>
    <cellStyle name="Millares 46 2 3" xfId="8756" xr:uid="{CF565E8E-D537-4ABD-97BF-86BC225656BC}"/>
    <cellStyle name="Millares 46 3" xfId="1512" xr:uid="{9EDAA5B5-B0A5-4B51-AE44-BEDFDB631AB7}"/>
    <cellStyle name="Millares 46 3 2" xfId="4472" xr:uid="{0CE8543C-E274-4390-B9D0-3C410541005F}"/>
    <cellStyle name="Millares 46 3 2 2" xfId="12040" xr:uid="{D2309E62-4D5F-47CB-A170-93A971B5B63C}"/>
    <cellStyle name="Millares 46 3 3" xfId="9120" xr:uid="{0261E261-18EE-4BB9-95AD-DBF5EE4463A3}"/>
    <cellStyle name="Millares 46 4" xfId="1891" xr:uid="{3684DEFE-4418-4F13-B276-B9F241CBFFC9}"/>
    <cellStyle name="Millares 46 4 2" xfId="4850" xr:uid="{7CDD49D2-791E-45C2-9E85-BC2638FBD05A}"/>
    <cellStyle name="Millares 46 4 2 2" xfId="12418" xr:uid="{D34907C0-7766-4606-B733-1DC9DEDCCB24}"/>
    <cellStyle name="Millares 46 4 3" xfId="9498" xr:uid="{DDDE9019-AD21-4770-A77D-CB0A4B299906}"/>
    <cellStyle name="Millares 46 5" xfId="3577" xr:uid="{A851139D-1090-446D-8F37-9A384BB16BD2}"/>
    <cellStyle name="Millares 46 5 2" xfId="11145" xr:uid="{C66A1371-3FED-4DEF-9788-0FBF69DA5456}"/>
    <cellStyle name="Millares 46 6" xfId="8225" xr:uid="{59F2CA99-C935-4128-9E1F-6491ECAE458A}"/>
    <cellStyle name="Millares 47" xfId="324" xr:uid="{045839CD-DF47-48C2-983A-5096CD2FDF71}"/>
    <cellStyle name="Millares 47 2" xfId="1150" xr:uid="{0468E230-B32C-44F7-8BE7-FA44B0C9484C}"/>
    <cellStyle name="Millares 47 2 2" xfId="4110" xr:uid="{57181CD9-D679-42A8-BB6D-91FAEDB0C4B3}"/>
    <cellStyle name="Millares 47 2 2 2" xfId="11678" xr:uid="{9545746E-C704-43C0-B606-35A2DA59724F}"/>
    <cellStyle name="Millares 47 2 3" xfId="8758" xr:uid="{EB1263A8-E29C-411C-93AC-AEE9CE09D0A7}"/>
    <cellStyle name="Millares 47 3" xfId="1514" xr:uid="{F6B970B1-27A0-4040-B8AC-CE94671FE18B}"/>
    <cellStyle name="Millares 47 3 2" xfId="4474" xr:uid="{ECACC535-7CC6-41CB-BE1C-B40B2BD081C6}"/>
    <cellStyle name="Millares 47 3 2 2" xfId="12042" xr:uid="{69BC6604-EA7A-439B-8C9B-A9971B2FB85C}"/>
    <cellStyle name="Millares 47 3 3" xfId="9122" xr:uid="{5F73552E-EDDD-4CC6-AD57-3EEFDBF3155B}"/>
    <cellStyle name="Millares 47 4" xfId="1893" xr:uid="{0DDF1F61-7526-474C-B211-B7CA7875D787}"/>
    <cellStyle name="Millares 47 4 2" xfId="4852" xr:uid="{4C349153-FAB6-4A5E-B833-387FE9D47E8B}"/>
    <cellStyle name="Millares 47 4 2 2" xfId="12420" xr:uid="{49F71017-4C7A-408B-A91B-EE9E0C2196D4}"/>
    <cellStyle name="Millares 47 4 3" xfId="9500" xr:uid="{27BEB37A-2ACC-4666-99D6-0B6806781183}"/>
    <cellStyle name="Millares 47 5" xfId="3579" xr:uid="{48C40525-FDAC-45A3-B876-D40048190FB2}"/>
    <cellStyle name="Millares 47 5 2" xfId="11147" xr:uid="{6F0BA0F5-8D15-4BE5-8557-90BEEBF15ACA}"/>
    <cellStyle name="Millares 47 6" xfId="8227" xr:uid="{552AF8B7-8E6E-4534-9402-1C0D1FA26258}"/>
    <cellStyle name="Millares 48" xfId="327" xr:uid="{4CB508B5-EA91-4B41-98B7-7C88A79725A1}"/>
    <cellStyle name="Millares 48 2" xfId="1152" xr:uid="{05CF5092-2582-4B72-8529-55A542D3CDB0}"/>
    <cellStyle name="Millares 48 2 2" xfId="4112" xr:uid="{AC59F400-718F-4E7C-A56B-F0A6A3396B98}"/>
    <cellStyle name="Millares 48 2 2 2" xfId="11680" xr:uid="{391823F2-7949-456E-8210-BA7C7050D4F9}"/>
    <cellStyle name="Millares 48 2 3" xfId="8760" xr:uid="{C53549C9-3983-4669-AA7E-368E5E7F6B97}"/>
    <cellStyle name="Millares 48 3" xfId="1516" xr:uid="{47490C69-20F9-4CF3-9977-7BA0F428D2C0}"/>
    <cellStyle name="Millares 48 3 2" xfId="4476" xr:uid="{B85BE251-F539-478B-9AC9-C40BC5D6420C}"/>
    <cellStyle name="Millares 48 3 2 2" xfId="12044" xr:uid="{8A4BDECC-BFE5-438C-9A99-ACE02BCED7DA}"/>
    <cellStyle name="Millares 48 3 3" xfId="9124" xr:uid="{60E8469E-A966-4425-916B-F93AA5BA08C7}"/>
    <cellStyle name="Millares 48 4" xfId="1895" xr:uid="{2A983425-360F-4880-8E5E-0F71F7EFEFAE}"/>
    <cellStyle name="Millares 48 4 2" xfId="4854" xr:uid="{AF6E5379-BAD2-43DB-AA91-7B7E18E58815}"/>
    <cellStyle name="Millares 48 4 2 2" xfId="12422" xr:uid="{2BB9ED80-AB1D-4324-9C87-7BE646E7B682}"/>
    <cellStyle name="Millares 48 4 3" xfId="9502" xr:uid="{704119C8-5D1B-4733-B703-B86244506994}"/>
    <cellStyle name="Millares 48 5" xfId="3581" xr:uid="{7D87F472-E446-4A6E-B801-DB6D8C664551}"/>
    <cellStyle name="Millares 48 5 2" xfId="11149" xr:uid="{D51B6B1D-A8EF-4945-929F-B39572CD944F}"/>
    <cellStyle name="Millares 48 6" xfId="8229" xr:uid="{7D073A90-7AF1-4D0F-A3B8-711F19C743F9}"/>
    <cellStyle name="Millares 49" xfId="330" xr:uid="{EC472210-58F2-45DB-A09B-3F353ED00566}"/>
    <cellStyle name="Millares 49 2" xfId="1154" xr:uid="{EAF76EB7-E942-4E72-B5E5-4D755224D292}"/>
    <cellStyle name="Millares 49 2 2" xfId="4114" xr:uid="{F59C208F-1150-4D1A-9993-E957AE978A33}"/>
    <cellStyle name="Millares 49 2 2 2" xfId="11682" xr:uid="{386614FF-3E4C-449B-8922-ADFC6481DA2F}"/>
    <cellStyle name="Millares 49 2 3" xfId="8762" xr:uid="{3A76CCE9-B54D-4C4F-BB6F-66567DC67C84}"/>
    <cellStyle name="Millares 49 3" xfId="1518" xr:uid="{60334C0E-A5B6-4F56-B7C4-C1FEC7E14679}"/>
    <cellStyle name="Millares 49 3 2" xfId="4478" xr:uid="{67048A52-78ED-4454-B525-B99FAF3A56D7}"/>
    <cellStyle name="Millares 49 3 2 2" xfId="12046" xr:uid="{AB4A5023-8FE8-4BDA-95B2-F1F21011FB56}"/>
    <cellStyle name="Millares 49 3 3" xfId="9126" xr:uid="{F3D5FE00-1C45-4A8C-A1B5-4BC48C8BA7CC}"/>
    <cellStyle name="Millares 49 4" xfId="1897" xr:uid="{2B7543B8-2F26-4754-B400-560973847565}"/>
    <cellStyle name="Millares 49 4 2" xfId="4856" xr:uid="{A9E05563-97CB-4E5E-9DFB-37B41FD5BCA5}"/>
    <cellStyle name="Millares 49 4 2 2" xfId="12424" xr:uid="{1B873780-2DBC-47B6-8282-FA5459FF84AC}"/>
    <cellStyle name="Millares 49 4 3" xfId="9504" xr:uid="{C8B1B865-D998-4E0A-956F-9E425A5DEECA}"/>
    <cellStyle name="Millares 49 5" xfId="3583" xr:uid="{018634D4-6474-4C79-BC78-CD30DD6540D2}"/>
    <cellStyle name="Millares 49 5 2" xfId="11151" xr:uid="{D6BAC2AD-85F8-4404-84C2-28DFF308D335}"/>
    <cellStyle name="Millares 49 6" xfId="8231" xr:uid="{D5B394F2-7E3B-4F63-A219-39BF5A5526EB}"/>
    <cellStyle name="Millares 5" xfId="166" xr:uid="{F43DADE4-89EB-4872-B85F-279AA6A8F64C}"/>
    <cellStyle name="Millares 5 10" xfId="3345" xr:uid="{30C4B3F9-EDAA-4EB9-813D-F68286165947}"/>
    <cellStyle name="Millares 5 10 2" xfId="6347" xr:uid="{0B3E3404-BF28-4C8A-AD36-F4978718D4FE}"/>
    <cellStyle name="Millares 5 10 2 2" xfId="13908" xr:uid="{A351E74C-AECE-43B6-88E8-74F8C42DDC96}"/>
    <cellStyle name="Millares 5 10 3" xfId="7751" xr:uid="{A916A014-066C-4D32-AA4E-E90867488226}"/>
    <cellStyle name="Millares 5 10 3 2" xfId="15280" xr:uid="{9EC0946B-8EB2-469C-B4E9-6E8F153A15FE}"/>
    <cellStyle name="Millares 5 10 4" xfId="10925" xr:uid="{BE7A0146-D25D-4F4C-A58C-E63772C23065}"/>
    <cellStyle name="Millares 5 11" xfId="2345" xr:uid="{1CADFDA8-B25F-402F-9F16-4A52C62D7513}"/>
    <cellStyle name="Millares 5 11 2" xfId="6483" xr:uid="{4A0C4596-8687-48DC-9BEA-7EC8BBE10D2C}"/>
    <cellStyle name="Millares 5 11 2 2" xfId="14039" xr:uid="{ED504226-24AE-455F-8655-5E7F55AEEF89}"/>
    <cellStyle name="Millares 5 11 3" xfId="7882" xr:uid="{A02E3D9B-025D-4150-BA9A-47416F5FCCA3}"/>
    <cellStyle name="Millares 5 11 3 2" xfId="15411" xr:uid="{97509F52-1FF4-4172-9CAA-F0E45BCD1647}"/>
    <cellStyle name="Millares 5 11 4" xfId="9940" xr:uid="{739E068A-2EDD-4688-9EEF-40B53B2F8E54}"/>
    <cellStyle name="Millares 5 12" xfId="3475" xr:uid="{0BF262F2-F253-4F92-98E0-320AEB982C84}"/>
    <cellStyle name="Millares 5 12 2" xfId="11043" xr:uid="{89696579-5544-4CC3-AEF4-060AB60F06DD}"/>
    <cellStyle name="Millares 5 13" xfId="5362" xr:uid="{1F47E961-3212-465E-A248-65A1DB168696}"/>
    <cellStyle name="Millares 5 13 2" xfId="12923" xr:uid="{1D607240-6224-4F5B-9BF8-5647DF2D83D0}"/>
    <cellStyle name="Millares 5 14" xfId="6766" xr:uid="{769893E0-E582-4A0B-B998-307072F20886}"/>
    <cellStyle name="Millares 5 14 2" xfId="14295" xr:uid="{752DE360-68D6-431C-A2F3-A4D97616DDF4}"/>
    <cellStyle name="Millares 5 15" xfId="8123" xr:uid="{BC3F698A-E9F3-413A-B59B-2DEB416C0C64}"/>
    <cellStyle name="Millares 5 2" xfId="204" xr:uid="{6E3B81C0-E83C-483E-9E37-67CC8A51A771}"/>
    <cellStyle name="Millares 5 2 10" xfId="2410" xr:uid="{8EBA70EB-5E1F-4542-A9FC-0FEE2C239EC6}"/>
    <cellStyle name="Millares 5 2 10 2" xfId="6541" xr:uid="{6CF66F00-4E80-4BD1-8D63-EB1DE7FF4BBE}"/>
    <cellStyle name="Millares 5 2 10 2 2" xfId="14097" xr:uid="{FA429374-2E4F-4B6C-8A22-C342154A3C57}"/>
    <cellStyle name="Millares 5 2 10 3" xfId="7940" xr:uid="{AB33A1A1-3321-4463-AF7C-FE4D5EEAC4E8}"/>
    <cellStyle name="Millares 5 2 10 3 2" xfId="15469" xr:uid="{0AA1575F-DB76-4F2D-A784-9F4C4EAEF544}"/>
    <cellStyle name="Millares 5 2 10 4" xfId="9998" xr:uid="{91B45031-F558-41F6-A904-5221F718F249}"/>
    <cellStyle name="Millares 5 2 11" xfId="3501" xr:uid="{272FAB58-B6E5-4344-B374-8E9437914004}"/>
    <cellStyle name="Millares 5 2 11 2" xfId="11069" xr:uid="{543853F0-638D-4975-9FC3-4410D4BBBC9E}"/>
    <cellStyle name="Millares 5 2 12" xfId="5420" xr:uid="{6CCE1E4E-A9A0-45B8-9E9D-51B9F3E93E9E}"/>
    <cellStyle name="Millares 5 2 12 2" xfId="12981" xr:uid="{6BA7564E-0260-4E16-A11C-1715EE13B12D}"/>
    <cellStyle name="Millares 5 2 13" xfId="6824" xr:uid="{74A1DC8E-EEDF-46D7-A8D5-82677C117247}"/>
    <cellStyle name="Millares 5 2 13 2" xfId="14353" xr:uid="{0B5355C0-BBCE-4517-9C8D-4DDE1E7320A5}"/>
    <cellStyle name="Millares 5 2 14" xfId="8149" xr:uid="{FA35A950-47F5-4BE0-B9F4-E6500078E2F7}"/>
    <cellStyle name="Millares 5 2 2" xfId="2534" xr:uid="{292FA80C-4BAE-49D3-940A-7636899EEFD1}"/>
    <cellStyle name="Millares 5 2 2 2" xfId="6676" xr:uid="{DFB3FC66-37FE-474D-9446-8A6B1CA408F2}"/>
    <cellStyle name="Millares 5 2 2 2 2" xfId="8062" xr:uid="{DC5FBAAD-B712-492A-B130-C7FEDF7620FB}"/>
    <cellStyle name="Millares 5 2 2 2 2 2" xfId="15591" xr:uid="{8EEA1E43-A2B8-45D3-B89D-C8DD521B24EC}"/>
    <cellStyle name="Millares 5 2 2 2 3" xfId="14219" xr:uid="{1E6F1D5C-CC23-4763-9F10-3C73576C47EF}"/>
    <cellStyle name="Millares 5 2 2 3" xfId="5540" xr:uid="{78BA413A-135A-44CD-812C-79431EF5313D}"/>
    <cellStyle name="Millares 5 2 2 3 2" xfId="13101" xr:uid="{8555ACB4-1F16-46E5-B156-2DAA2B3436E7}"/>
    <cellStyle name="Millares 5 2 2 4" xfId="6944" xr:uid="{8F304313-3EE8-44C2-98B4-1DC6329A376F}"/>
    <cellStyle name="Millares 5 2 2 4 2" xfId="14473" xr:uid="{9A578533-777E-42AE-9629-E6A26432945D}"/>
    <cellStyle name="Millares 5 2 2 5" xfId="10118" xr:uid="{AF2E67CE-435B-4697-8918-7CF1869EAC7B}"/>
    <cellStyle name="Millares 5 2 3" xfId="2655" xr:uid="{10D14AB6-9AA1-4D76-8675-58E979360194}"/>
    <cellStyle name="Millares 5 2 3 2" xfId="5660" xr:uid="{4960D8D9-3A31-4702-A0A4-73AFB6787FAE}"/>
    <cellStyle name="Millares 5 2 3 2 2" xfId="13221" xr:uid="{68984EDF-64D7-47EC-A479-3C802DFDEA74}"/>
    <cellStyle name="Millares 5 2 3 3" xfId="7064" xr:uid="{23797949-3DD3-4821-B7F7-439D331629CD}"/>
    <cellStyle name="Millares 5 2 3 3 2" xfId="14593" xr:uid="{644BFFBE-E284-42B4-B5A8-B7B285ED3C8E}"/>
    <cellStyle name="Millares 5 2 3 4" xfId="10238" xr:uid="{2F48A470-8951-4AFE-AD9F-8BC079376DCB}"/>
    <cellStyle name="Millares 5 2 4" xfId="2777" xr:uid="{E475E794-9618-446C-B9A1-6B28E757909A}"/>
    <cellStyle name="Millares 5 2 4 2" xfId="5782" xr:uid="{8FB60346-1397-4561-AD48-90BC8C932B1F}"/>
    <cellStyle name="Millares 5 2 4 2 2" xfId="13343" xr:uid="{FDF12977-1FAF-4E80-BD80-8F35F5B778BE}"/>
    <cellStyle name="Millares 5 2 4 3" xfId="7186" xr:uid="{800BAF09-5243-4CBA-81AB-4CFF93338D31}"/>
    <cellStyle name="Millares 5 2 4 3 2" xfId="14715" xr:uid="{8F61226D-98ED-4739-A71E-1A31DCEAA371}"/>
    <cellStyle name="Millares 5 2 4 4" xfId="10360" xr:uid="{2D34758A-1D1B-4D00-9E4F-13091DFD8D6C}"/>
    <cellStyle name="Millares 5 2 5" xfId="2902" xr:uid="{156E2F81-4607-46BE-85A4-B08B7291A2D1}"/>
    <cellStyle name="Millares 5 2 5 2" xfId="5906" xr:uid="{45F8082C-76C6-415E-A2CC-D872E8F65EFD}"/>
    <cellStyle name="Millares 5 2 5 2 2" xfId="13467" xr:uid="{6B9F4A30-2252-4538-B6AC-384A1F87EB42}"/>
    <cellStyle name="Millares 5 2 5 3" xfId="7310" xr:uid="{2847D615-E51C-40CD-A7DF-D9E1ABED015D}"/>
    <cellStyle name="Millares 5 2 5 3 2" xfId="14839" xr:uid="{A06DD5F7-4DC1-44C0-961B-B0810031C5DF}"/>
    <cellStyle name="Millares 5 2 5 4" xfId="10484" xr:uid="{037EB268-A8A9-4F19-9A26-4A9738C93E41}"/>
    <cellStyle name="Millares 5 2 6" xfId="3026" xr:uid="{6D75F645-17D0-408F-9B28-190D5D2EC940}"/>
    <cellStyle name="Millares 5 2 6 2" xfId="6030" xr:uid="{B40C5402-930A-4CFC-A10F-141AC3BB7A93}"/>
    <cellStyle name="Millares 5 2 6 2 2" xfId="13591" xr:uid="{F9579A57-AC90-43CD-AF43-18E093A6560C}"/>
    <cellStyle name="Millares 5 2 6 3" xfId="7434" xr:uid="{5B373A7F-4C5F-4287-B559-352E3CF33C98}"/>
    <cellStyle name="Millares 5 2 6 3 2" xfId="14963" xr:uid="{6866EF44-AB84-42E8-B5FA-D03A8B5B4644}"/>
    <cellStyle name="Millares 5 2 6 4" xfId="10608" xr:uid="{E8000727-9CBA-472E-A358-F8DEF5833095}"/>
    <cellStyle name="Millares 5 2 7" xfId="3150" xr:uid="{EB795AB9-8D84-470C-873E-C9C2EEB93DED}"/>
    <cellStyle name="Millares 5 2 7 2" xfId="6154" xr:uid="{164A8A35-AF67-4C11-8C3E-1F081C6B91C3}"/>
    <cellStyle name="Millares 5 2 7 2 2" xfId="13715" xr:uid="{8A150547-75C0-4485-869E-BD63FC8B6C2E}"/>
    <cellStyle name="Millares 5 2 7 3" xfId="7558" xr:uid="{075C483C-3613-4FC3-B263-CCE07D6C5E7D}"/>
    <cellStyle name="Millares 5 2 7 3 2" xfId="15087" xr:uid="{A49B4C3B-CA75-4494-9CD1-D9971491D2D7}"/>
    <cellStyle name="Millares 5 2 7 4" xfId="10732" xr:uid="{B40309A9-A0BC-40BD-B2B5-F99072340304}"/>
    <cellStyle name="Millares 5 2 8" xfId="3275" xr:uid="{E898EDF5-6E67-4A05-9B83-0D5AE56E749C}"/>
    <cellStyle name="Millares 5 2 8 2" xfId="6279" xr:uid="{98B9942B-060D-4A6C-9730-B14981B70676}"/>
    <cellStyle name="Millares 5 2 8 2 2" xfId="13840" xr:uid="{3AD82A2E-D7FF-421F-8D19-33B7535571B1}"/>
    <cellStyle name="Millares 5 2 8 3" xfId="7683" xr:uid="{EE8D335B-CCE8-4785-9427-F98E78EED5EF}"/>
    <cellStyle name="Millares 5 2 8 3 2" xfId="15212" xr:uid="{92AF38EE-CA8F-4297-AFD7-94793B40DE6F}"/>
    <cellStyle name="Millares 5 2 8 4" xfId="10857" xr:uid="{690DAB94-B4C4-4749-BE43-DF19E17CC51C}"/>
    <cellStyle name="Millares 5 2 9" xfId="3403" xr:uid="{7E77B10C-9962-4FB5-9C3B-BF9B7D4136C1}"/>
    <cellStyle name="Millares 5 2 9 2" xfId="6405" xr:uid="{62A4FAA5-6A46-4D3B-9D4B-B0C70273F813}"/>
    <cellStyle name="Millares 5 2 9 2 2" xfId="13966" xr:uid="{7C8AE5ED-C263-4341-A3A8-4925730CACBB}"/>
    <cellStyle name="Millares 5 2 9 3" xfId="7809" xr:uid="{DDF3CBDD-D108-4FCA-8423-AE33298AC40B}"/>
    <cellStyle name="Millares 5 2 9 3 2" xfId="15338" xr:uid="{A541C52A-55E5-4F33-BA75-93926E32D69F}"/>
    <cellStyle name="Millares 5 2 9 4" xfId="10983" xr:uid="{E230CCAD-5C10-497D-9621-0522BCBB5330}"/>
    <cellStyle name="Millares 5 3" xfId="1066" xr:uid="{D0FC5CCC-C575-4541-9355-81B69266702F}"/>
    <cellStyle name="Millares 5 3 2" xfId="2476" xr:uid="{909AAA0D-61A1-4708-B666-35AFD0EF60AF}"/>
    <cellStyle name="Millares 5 3 2 2" xfId="6618" xr:uid="{B6C91E58-F10C-4C5F-8238-F4656D1D23D6}"/>
    <cellStyle name="Millares 5 3 2 2 2" xfId="14161" xr:uid="{F23A15F7-5780-4688-B0B7-F99E2E75AD12}"/>
    <cellStyle name="Millares 5 3 2 3" xfId="8004" xr:uid="{71915BE4-D190-4F7F-A817-71D9B1D87E3E}"/>
    <cellStyle name="Millares 5 3 2 3 2" xfId="15533" xr:uid="{0963319C-346A-4A9F-8D76-A1C40699E788}"/>
    <cellStyle name="Millares 5 3 2 4" xfId="10060" xr:uid="{83CF2146-4364-41C4-AA1F-83E62D58EEC8}"/>
    <cellStyle name="Millares 5 3 3" xfId="4026" xr:uid="{7AD3F762-A841-45BA-A112-46AFC535F253}"/>
    <cellStyle name="Millares 5 3 3 2" xfId="11594" xr:uid="{25572F71-ACDE-4FF2-8874-21BECF972BF8}"/>
    <cellStyle name="Millares 5 3 4" xfId="5482" xr:uid="{709002FE-E1B6-444B-B291-9FBC9455A71A}"/>
    <cellStyle name="Millares 5 3 4 2" xfId="13043" xr:uid="{5112B25D-D417-4458-A8CF-AE6D2D26818B}"/>
    <cellStyle name="Millares 5 3 5" xfId="6886" xr:uid="{D6268346-6013-447F-8D10-34B73DB66D9E}"/>
    <cellStyle name="Millares 5 3 5 2" xfId="14415" xr:uid="{BF9F60AE-8B20-49AF-96B0-965087C1D089}"/>
    <cellStyle name="Millares 5 3 6" xfId="8674" xr:uid="{FC99796B-6668-4596-9D01-D755A3EC5B8B}"/>
    <cellStyle name="Millares 5 4" xfId="1430" xr:uid="{2973DC4F-AFC5-4F59-B2D8-23C91EA2E3C7}"/>
    <cellStyle name="Millares 5 4 2" xfId="2597" xr:uid="{8BC7C15F-7D4D-4779-AB32-A048823C3F05}"/>
    <cellStyle name="Millares 5 4 2 2" xfId="10180" xr:uid="{48EE0F20-D1C7-4BC3-9D8E-61995D2BFB4C}"/>
    <cellStyle name="Millares 5 4 3" xfId="4390" xr:uid="{F27DB74C-2AEC-4BA5-81BE-0EA485B66107}"/>
    <cellStyle name="Millares 5 4 3 2" xfId="11958" xr:uid="{468A8D7E-1654-4B6D-8552-140D6D0C3EBA}"/>
    <cellStyle name="Millares 5 4 4" xfId="5602" xr:uid="{2249FE5A-08CA-4969-B1C6-72A68D7C6D89}"/>
    <cellStyle name="Millares 5 4 4 2" xfId="13163" xr:uid="{76CBF2FF-9C8B-4F3B-B45B-FB73A7962A79}"/>
    <cellStyle name="Millares 5 4 5" xfId="7006" xr:uid="{2EE84A29-3274-400D-BB91-FA9E5D468190}"/>
    <cellStyle name="Millares 5 4 5 2" xfId="14535" xr:uid="{84414869-6024-4194-9639-6BCC02364F91}"/>
    <cellStyle name="Millares 5 4 6" xfId="9038" xr:uid="{306DAEBF-92DA-4145-A1D5-501B6256FFBA}"/>
    <cellStyle name="Millares 5 5" xfId="1809" xr:uid="{D99E47B6-592C-4984-BA2D-0E6F6C36A4FD}"/>
    <cellStyle name="Millares 5 5 2" xfId="2719" xr:uid="{88CFE853-5396-4AFC-B63D-E941F38CB839}"/>
    <cellStyle name="Millares 5 5 2 2" xfId="10302" xr:uid="{190BAA08-8777-46EF-B916-28870EAB555D}"/>
    <cellStyle name="Millares 5 5 3" xfId="4768" xr:uid="{A4802700-0762-415B-BCA9-BAC2539D2B34}"/>
    <cellStyle name="Millares 5 5 3 2" xfId="12336" xr:uid="{F023E8CA-5EB9-4C05-9945-F8A3402F9B10}"/>
    <cellStyle name="Millares 5 5 4" xfId="5724" xr:uid="{07C65319-C0C6-4486-A789-0C2EB69D4F8A}"/>
    <cellStyle name="Millares 5 5 4 2" xfId="13285" xr:uid="{B57D015F-CEED-453E-9ABE-25401E0F281F}"/>
    <cellStyle name="Millares 5 5 5" xfId="7128" xr:uid="{4AF3D121-90F4-4487-8D0B-3DB9C9C723A1}"/>
    <cellStyle name="Millares 5 5 5 2" xfId="14657" xr:uid="{1ED4038C-616C-4E1C-9E97-E7A363514445}"/>
    <cellStyle name="Millares 5 5 6" xfId="9416" xr:uid="{B14BA188-3CE7-4D73-96CE-628765CD5E6C}"/>
    <cellStyle name="Millares 5 6" xfId="2844" xr:uid="{146EC351-D7C1-4D5A-BD93-894D45B777A5}"/>
    <cellStyle name="Millares 5 6 2" xfId="5848" xr:uid="{50438CCD-B1A4-47CC-820D-3B78B4BE4CF9}"/>
    <cellStyle name="Millares 5 6 2 2" xfId="13409" xr:uid="{A7E8A11B-0FE5-4018-A222-76B8AB8E74B5}"/>
    <cellStyle name="Millares 5 6 3" xfId="7252" xr:uid="{C23BA0CD-F508-43B4-BCA6-1567D9BA40EC}"/>
    <cellStyle name="Millares 5 6 3 2" xfId="14781" xr:uid="{0F1C0682-294D-430F-9012-06DA941BEA60}"/>
    <cellStyle name="Millares 5 6 4" xfId="10426" xr:uid="{E419756B-2074-4C13-B76B-23ED29ABA146}"/>
    <cellStyle name="Millares 5 7" xfId="2968" xr:uid="{AFBB2918-D762-4841-A39B-A38154EFB14D}"/>
    <cellStyle name="Millares 5 7 2" xfId="5972" xr:uid="{E28F8B36-AB9A-4871-ADFF-C030F94A14D4}"/>
    <cellStyle name="Millares 5 7 2 2" xfId="13533" xr:uid="{FCFE4440-8B78-405E-8E5E-09036A3E21EC}"/>
    <cellStyle name="Millares 5 7 3" xfId="7376" xr:uid="{1A0C2214-C3EC-4385-85D5-36B80C8FBEE3}"/>
    <cellStyle name="Millares 5 7 3 2" xfId="14905" xr:uid="{0BB4B59B-CE90-419D-A01F-FB98BAE5EFD7}"/>
    <cellStyle name="Millares 5 7 4" xfId="10550" xr:uid="{861E96AD-5C76-4BC7-B030-FB30F51FD849}"/>
    <cellStyle name="Millares 5 8" xfId="3092" xr:uid="{69A9856E-F115-4088-90C3-E30F7212CCF9}"/>
    <cellStyle name="Millares 5 8 2" xfId="6096" xr:uid="{9BB0E86C-C164-44A2-B4D3-FF1D1AA8ACA2}"/>
    <cellStyle name="Millares 5 8 2 2" xfId="13657" xr:uid="{9AEB9B68-EFB4-4977-87CA-90AC0633742B}"/>
    <cellStyle name="Millares 5 8 3" xfId="7500" xr:uid="{40AA6DAA-81E2-404F-B3E5-185F39A3B989}"/>
    <cellStyle name="Millares 5 8 3 2" xfId="15029" xr:uid="{BEEC77FF-4C1B-4B90-BB74-1EC2FA944B49}"/>
    <cellStyle name="Millares 5 8 4" xfId="10674" xr:uid="{9D3CF9CA-41C5-4586-8201-D1FC241EB28D}"/>
    <cellStyle name="Millares 5 9" xfId="3217" xr:uid="{757C094F-8DB8-4D11-838C-FDD0C5E3A4B4}"/>
    <cellStyle name="Millares 5 9 2" xfId="6221" xr:uid="{68E8BE6C-1885-4B24-9C9C-9855EE933547}"/>
    <cellStyle name="Millares 5 9 2 2" xfId="13782" xr:uid="{9D77ED38-C2FC-492C-BD1C-706097B6791E}"/>
    <cellStyle name="Millares 5 9 3" xfId="7625" xr:uid="{080AB8EF-AB88-4D95-B4D4-CA74671E5894}"/>
    <cellStyle name="Millares 5 9 3 2" xfId="15154" xr:uid="{B8878060-6F76-475C-B5B8-83032EFA2254}"/>
    <cellStyle name="Millares 5 9 4" xfId="10799" xr:uid="{3984A759-D8E9-4150-BBE0-FB856E4DF838}"/>
    <cellStyle name="Millares 50" xfId="333" xr:uid="{3808A7A6-2592-40B2-A904-191155D8E3B3}"/>
    <cellStyle name="Millares 50 2" xfId="1156" xr:uid="{EFADA82F-72FC-4265-AFCD-42A44133C9DA}"/>
    <cellStyle name="Millares 50 2 2" xfId="4116" xr:uid="{9083F948-B20F-4863-B731-6B1EFB944FE8}"/>
    <cellStyle name="Millares 50 2 2 2" xfId="11684" xr:uid="{593AB42C-CBD9-4B3C-B6FC-9330DB574C83}"/>
    <cellStyle name="Millares 50 2 3" xfId="8764" xr:uid="{8A99A4C8-E6E3-4455-9C54-F3AA75426FB8}"/>
    <cellStyle name="Millares 50 3" xfId="1520" xr:uid="{3FEB455D-ACF6-4933-BCCC-2B7DCC9FDB0B}"/>
    <cellStyle name="Millares 50 3 2" xfId="4480" xr:uid="{16E62B15-E1A5-474C-9FDA-A33A487EEF42}"/>
    <cellStyle name="Millares 50 3 2 2" xfId="12048" xr:uid="{444AFDD2-3EFF-4E8D-ADA0-BA4FA8680A58}"/>
    <cellStyle name="Millares 50 3 3" xfId="9128" xr:uid="{7967054E-1617-4A69-B07E-DBD00BF8A6A6}"/>
    <cellStyle name="Millares 50 4" xfId="1899" xr:uid="{ACBD8BD6-D033-4AA6-925D-82EBC4194CB1}"/>
    <cellStyle name="Millares 50 4 2" xfId="4858" xr:uid="{C9F90B14-3DC9-4A6C-BF6A-28E6A96886D6}"/>
    <cellStyle name="Millares 50 4 2 2" xfId="12426" xr:uid="{7EEF4737-5DCB-43ED-9F64-88DBF707D49E}"/>
    <cellStyle name="Millares 50 4 3" xfId="9506" xr:uid="{3F137867-E558-402A-A408-C499EF49350C}"/>
    <cellStyle name="Millares 50 5" xfId="3585" xr:uid="{186BFE0D-32C0-438E-A2B8-B479C263B77C}"/>
    <cellStyle name="Millares 50 5 2" xfId="11153" xr:uid="{F1C1ED51-CBEA-4D97-BA4C-3EA8087DBBCE}"/>
    <cellStyle name="Millares 50 6" xfId="8233" xr:uid="{DB3E4C1B-0F08-47A4-A538-CFEB5E74F5F2}"/>
    <cellStyle name="Millares 51" xfId="336" xr:uid="{AB065FF3-3A87-4366-9520-ADA370C13907}"/>
    <cellStyle name="Millares 51 2" xfId="1158" xr:uid="{DD959D92-B057-433E-93A2-C13F29852D75}"/>
    <cellStyle name="Millares 51 2 2" xfId="4118" xr:uid="{198A13F5-DC9D-4BC1-BA2A-544765517E79}"/>
    <cellStyle name="Millares 51 2 2 2" xfId="11686" xr:uid="{D02E07B6-3097-4DC8-8843-D0F4CA82E33B}"/>
    <cellStyle name="Millares 51 2 3" xfId="8766" xr:uid="{24D0B299-1CCC-489A-9328-30040456A2DE}"/>
    <cellStyle name="Millares 51 3" xfId="1522" xr:uid="{5B15FBC4-335A-4CB0-8619-74C141389870}"/>
    <cellStyle name="Millares 51 3 2" xfId="4482" xr:uid="{737B09CF-9ED6-4620-B60C-789352D12343}"/>
    <cellStyle name="Millares 51 3 2 2" xfId="12050" xr:uid="{D5A6A742-9202-4040-B3BE-22D24DEA3D87}"/>
    <cellStyle name="Millares 51 3 3" xfId="9130" xr:uid="{B23D1501-168E-4E16-A23E-F1B6CA75B506}"/>
    <cellStyle name="Millares 51 4" xfId="1901" xr:uid="{19ABEDD7-9929-48B2-98E2-44423F73E7D7}"/>
    <cellStyle name="Millares 51 4 2" xfId="4860" xr:uid="{0938A040-9E57-4E79-AF80-65B6B3D93E7C}"/>
    <cellStyle name="Millares 51 4 2 2" xfId="12428" xr:uid="{7F6D1A7F-4E03-4939-8844-1E7DA98B9E49}"/>
    <cellStyle name="Millares 51 4 3" xfId="9508" xr:uid="{85666302-53F2-4B4F-B999-08B396F726F5}"/>
    <cellStyle name="Millares 51 5" xfId="3587" xr:uid="{981CAC5D-950A-4FC4-8609-908C4B49DDAB}"/>
    <cellStyle name="Millares 51 5 2" xfId="11155" xr:uid="{7179C9FA-BAF1-46AE-BB55-713FCF25CAE0}"/>
    <cellStyle name="Millares 51 6" xfId="8235" xr:uid="{4472E0FF-5693-4F19-81F8-5315675085ED}"/>
    <cellStyle name="Millares 52" xfId="339" xr:uid="{C5EB72F3-DA51-43FA-8A4C-AB85E0741CA6}"/>
    <cellStyle name="Millares 52 2" xfId="1160" xr:uid="{A49A173A-0908-408A-B98C-E6A190EE018D}"/>
    <cellStyle name="Millares 52 2 2" xfId="4120" xr:uid="{775991C4-234C-45AA-9F4A-5E8DDBBD6862}"/>
    <cellStyle name="Millares 52 2 2 2" xfId="11688" xr:uid="{43167CE1-5FA5-4B31-858B-A497471B19B1}"/>
    <cellStyle name="Millares 52 2 3" xfId="8768" xr:uid="{7400B26A-95C9-484F-9E9D-331925159697}"/>
    <cellStyle name="Millares 52 3" xfId="1524" xr:uid="{B454011B-1736-4122-A130-BA43B4C2E00E}"/>
    <cellStyle name="Millares 52 3 2" xfId="4484" xr:uid="{25522B08-5723-4461-9D83-0BD4157F7C23}"/>
    <cellStyle name="Millares 52 3 2 2" xfId="12052" xr:uid="{2BBDF51F-1B44-4729-9268-7A2F1EBC3CCB}"/>
    <cellStyle name="Millares 52 3 3" xfId="9132" xr:uid="{FD1DCCAF-974B-4D4C-8670-975A16ABEBCE}"/>
    <cellStyle name="Millares 52 4" xfId="1903" xr:uid="{58F66393-BB5F-444B-97C5-165B0D2FEB1B}"/>
    <cellStyle name="Millares 52 4 2" xfId="4862" xr:uid="{44782137-E1AF-4133-8BF3-58B417B8D7FA}"/>
    <cellStyle name="Millares 52 4 2 2" xfId="12430" xr:uid="{6D405D03-D398-4D0B-AEE5-98693107D317}"/>
    <cellStyle name="Millares 52 4 3" xfId="9510" xr:uid="{BF604F10-B7FC-489C-AE67-0673CA56D0C8}"/>
    <cellStyle name="Millares 52 5" xfId="3589" xr:uid="{D748C9CF-7FF7-4315-904E-187B4241DC42}"/>
    <cellStyle name="Millares 52 5 2" xfId="11157" xr:uid="{B894CC92-2EA5-4034-A2C1-CC08010F1D13}"/>
    <cellStyle name="Millares 52 6" xfId="8237" xr:uid="{0E27A43E-4A05-4977-9A11-816433355EAF}"/>
    <cellStyle name="Millares 53" xfId="342" xr:uid="{2C5D808B-9123-470B-87E1-DBCDEF056F15}"/>
    <cellStyle name="Millares 53 2" xfId="1162" xr:uid="{54F98503-E910-4F34-9F0B-C60DC1EA2122}"/>
    <cellStyle name="Millares 53 2 2" xfId="4122" xr:uid="{2BF56923-141F-44BD-BDA8-3E2D9A7FB9A5}"/>
    <cellStyle name="Millares 53 2 2 2" xfId="11690" xr:uid="{C221A259-35E1-4821-8F1A-5A63C55FF118}"/>
    <cellStyle name="Millares 53 2 3" xfId="8770" xr:uid="{AEA95387-80FD-4EF8-812C-96E776E97942}"/>
    <cellStyle name="Millares 53 3" xfId="1526" xr:uid="{5B437ACB-E7E5-4313-943B-BA7559D7115E}"/>
    <cellStyle name="Millares 53 3 2" xfId="4486" xr:uid="{81F37568-AACC-48F4-82A3-50BFF68E198C}"/>
    <cellStyle name="Millares 53 3 2 2" xfId="12054" xr:uid="{4F3E7037-C05F-4BF9-A44C-0615F357A057}"/>
    <cellStyle name="Millares 53 3 3" xfId="9134" xr:uid="{12C48AD5-BB5B-4928-A783-7EFB1AC0B963}"/>
    <cellStyle name="Millares 53 4" xfId="1905" xr:uid="{2566005F-0EDF-41CA-AA66-C3F5AD872D48}"/>
    <cellStyle name="Millares 53 4 2" xfId="4864" xr:uid="{A0B75690-CCCB-459D-A644-D86CE0C6BC77}"/>
    <cellStyle name="Millares 53 4 2 2" xfId="12432" xr:uid="{D186C09B-8358-4E5C-B491-30ADCB3BDFB3}"/>
    <cellStyle name="Millares 53 4 3" xfId="9512" xr:uid="{66FC9D19-4040-4FF7-BF7A-7C8C31A4632E}"/>
    <cellStyle name="Millares 53 5" xfId="3591" xr:uid="{1F224DE0-0366-4521-B7A5-081A6B6DF0CB}"/>
    <cellStyle name="Millares 53 5 2" xfId="11159" xr:uid="{51722D75-016D-40BE-B1FA-8B4DCBC30863}"/>
    <cellStyle name="Millares 53 6" xfId="8239" xr:uid="{17F38B48-CAA2-41DD-A504-665BC1BC9B15}"/>
    <cellStyle name="Millares 54" xfId="345" xr:uid="{ADAFF20D-B0EF-4B42-9B0F-46E93DF0B0BF}"/>
    <cellStyle name="Millares 54 2" xfId="1164" xr:uid="{003AC565-E88A-47C1-A78E-0D1A80A51871}"/>
    <cellStyle name="Millares 54 2 2" xfId="4124" xr:uid="{0383262A-C280-4BAC-95B8-B4569EA1DF04}"/>
    <cellStyle name="Millares 54 2 2 2" xfId="11692" xr:uid="{0B2BE9EC-6592-4962-A4DF-1F9C079B5D62}"/>
    <cellStyle name="Millares 54 2 3" xfId="8772" xr:uid="{B79541D3-1ECA-4F78-8023-3AA16DC60AD6}"/>
    <cellStyle name="Millares 54 3" xfId="1528" xr:uid="{D4248EB7-DE51-4F7A-9AE1-1D256D208DF8}"/>
    <cellStyle name="Millares 54 3 2" xfId="4488" xr:uid="{34088B40-70B9-4AD4-84C3-9364E6AAC66B}"/>
    <cellStyle name="Millares 54 3 2 2" xfId="12056" xr:uid="{76667F77-BA4F-4126-94BA-015E4514F1E3}"/>
    <cellStyle name="Millares 54 3 3" xfId="9136" xr:uid="{2F0BF711-504C-484F-B3BC-8AF0B77DD290}"/>
    <cellStyle name="Millares 54 4" xfId="1907" xr:uid="{D4D34DF3-BAAE-4980-A1A5-C4C19450E672}"/>
    <cellStyle name="Millares 54 4 2" xfId="4866" xr:uid="{3B278F04-A385-4855-9035-3ABCC3B29F77}"/>
    <cellStyle name="Millares 54 4 2 2" xfId="12434" xr:uid="{4E3C9CF6-C7A7-4509-9CBD-C6C898B5A787}"/>
    <cellStyle name="Millares 54 4 3" xfId="9514" xr:uid="{D311ADE0-2B79-4F00-9D21-B134280D1A3B}"/>
    <cellStyle name="Millares 54 5" xfId="3593" xr:uid="{92CD749E-A7D6-4C12-9E28-05C08D3C9029}"/>
    <cellStyle name="Millares 54 5 2" xfId="11161" xr:uid="{F1F23605-035E-4CD4-B1A3-666A316F55FE}"/>
    <cellStyle name="Millares 54 6" xfId="8241" xr:uid="{A47488F0-CE88-4B0A-8EB6-15103F1F3B29}"/>
    <cellStyle name="Millares 55" xfId="348" xr:uid="{B263E2FD-C061-4950-AEE2-730296ACD952}"/>
    <cellStyle name="Millares 55 2" xfId="1166" xr:uid="{39112AB7-03BD-4A0F-BCF0-2B4B19D4BABB}"/>
    <cellStyle name="Millares 55 2 2" xfId="4126" xr:uid="{FA30A11D-9C8E-44BD-8D28-9D3D2AD648E7}"/>
    <cellStyle name="Millares 55 2 2 2" xfId="11694" xr:uid="{91C9B8EF-6B48-445A-9EFD-DC6932525642}"/>
    <cellStyle name="Millares 55 2 3" xfId="8774" xr:uid="{66BD9BB0-D185-4CA6-8717-0EC403E7437D}"/>
    <cellStyle name="Millares 55 3" xfId="1530" xr:uid="{49A0BBED-9637-4A68-86B3-AFFC0A4F32B1}"/>
    <cellStyle name="Millares 55 3 2" xfId="4490" xr:uid="{EBDAC3D8-A5DC-4D65-A14E-950AAB964599}"/>
    <cellStyle name="Millares 55 3 2 2" xfId="12058" xr:uid="{B5083995-0B0A-4202-9103-D0B802913CA5}"/>
    <cellStyle name="Millares 55 3 3" xfId="9138" xr:uid="{4636D0A9-CD1F-4483-8228-61DDA9FF87CE}"/>
    <cellStyle name="Millares 55 4" xfId="1909" xr:uid="{B3DD7230-7E83-4ED8-861D-F331DFAB3276}"/>
    <cellStyle name="Millares 55 4 2" xfId="4868" xr:uid="{271F1FCF-76B1-434B-B5F2-2B4460ECC27D}"/>
    <cellStyle name="Millares 55 4 2 2" xfId="12436" xr:uid="{404C166F-F992-4DFD-AE24-F5D7212A336E}"/>
    <cellStyle name="Millares 55 4 3" xfId="9516" xr:uid="{D8B1F733-03C6-4CAA-BADE-26D8D6C7ABA3}"/>
    <cellStyle name="Millares 55 5" xfId="3595" xr:uid="{9494E3CD-BA58-40B0-A14A-BBDE797F1985}"/>
    <cellStyle name="Millares 55 5 2" xfId="11163" xr:uid="{0EAFA8DB-C473-4E18-9A63-D54D1F5CC2A7}"/>
    <cellStyle name="Millares 55 6" xfId="8243" xr:uid="{E67ACC17-0B08-44B9-BE9B-D31D38C01882}"/>
    <cellStyle name="Millares 56" xfId="351" xr:uid="{F42C9420-3B52-4A88-8271-3C071E099A4E}"/>
    <cellStyle name="Millares 56 2" xfId="1168" xr:uid="{954DCC8A-6628-43F9-BA01-DF5B3CB8D8BD}"/>
    <cellStyle name="Millares 56 2 2" xfId="4128" xr:uid="{DED2E0DA-18BD-487E-8B1B-80C758CE3736}"/>
    <cellStyle name="Millares 56 2 2 2" xfId="11696" xr:uid="{15962910-0583-4B7D-B96F-3A47D5FB38BD}"/>
    <cellStyle name="Millares 56 2 3" xfId="8776" xr:uid="{C8F4A9BE-F8F2-417F-8BC2-2C8C96F74190}"/>
    <cellStyle name="Millares 56 3" xfId="1532" xr:uid="{4C25ECBA-4F81-4EE7-B378-100EF13F7E7C}"/>
    <cellStyle name="Millares 56 3 2" xfId="4492" xr:uid="{432B19F2-CF01-4C37-BDDA-638D3A505ABE}"/>
    <cellStyle name="Millares 56 3 2 2" xfId="12060" xr:uid="{A28F0FC8-B937-4340-A06B-2F94613C7CEC}"/>
    <cellStyle name="Millares 56 3 3" xfId="9140" xr:uid="{C82F077A-F86C-42B2-A4CC-93C2F08CC83B}"/>
    <cellStyle name="Millares 56 4" xfId="1911" xr:uid="{9CDF0287-02E7-44D4-89DF-252517204CD8}"/>
    <cellStyle name="Millares 56 4 2" xfId="4870" xr:uid="{0B91F66F-7D84-4848-9681-B3A5CDDE0DE1}"/>
    <cellStyle name="Millares 56 4 2 2" xfId="12438" xr:uid="{E0E536AA-EE3F-4860-8A4D-EE7D13C94182}"/>
    <cellStyle name="Millares 56 4 3" xfId="9518" xr:uid="{01EA3AC0-D88B-4C97-AAFB-E2F480EEC467}"/>
    <cellStyle name="Millares 56 5" xfId="3597" xr:uid="{C04E76C1-200D-45ED-B6C7-DD4C140AAF82}"/>
    <cellStyle name="Millares 56 5 2" xfId="11165" xr:uid="{82874232-86E5-47B1-9D8F-8026B1741E7E}"/>
    <cellStyle name="Millares 56 6" xfId="8245" xr:uid="{D367BA96-378A-4339-98A3-E3BEF6552AF4}"/>
    <cellStyle name="Millares 57" xfId="354" xr:uid="{D7B68479-9E8D-4CA5-A75B-9D573D56FDDC}"/>
    <cellStyle name="Millares 57 2" xfId="1170" xr:uid="{A9F9929A-D0D4-4B17-8808-39D48289848D}"/>
    <cellStyle name="Millares 57 2 2" xfId="4130" xr:uid="{EFDEF742-47EA-4314-A22F-411F8BFD0B13}"/>
    <cellStyle name="Millares 57 2 2 2" xfId="11698" xr:uid="{7A0C5E65-27C6-43A3-9210-0900CE8F13D0}"/>
    <cellStyle name="Millares 57 2 3" xfId="8778" xr:uid="{2B5726C5-B6AF-4332-B181-245BF5BC961D}"/>
    <cellStyle name="Millares 57 3" xfId="1534" xr:uid="{4A8C5567-F299-4993-B4D8-013D5E7331A4}"/>
    <cellStyle name="Millares 57 3 2" xfId="4494" xr:uid="{AF1241A1-861F-4F32-BDB3-3CE30BA60530}"/>
    <cellStyle name="Millares 57 3 2 2" xfId="12062" xr:uid="{EFA3128E-34EE-4D84-A084-D3CAA31DA323}"/>
    <cellStyle name="Millares 57 3 3" xfId="9142" xr:uid="{8C160885-BD8E-489E-8D86-72F945DD2D66}"/>
    <cellStyle name="Millares 57 4" xfId="1913" xr:uid="{C9D03A1B-2E37-4DCD-A058-8999842E7B19}"/>
    <cellStyle name="Millares 57 4 2" xfId="4872" xr:uid="{B54A71CF-4C5B-4913-A4BC-201BA524C474}"/>
    <cellStyle name="Millares 57 4 2 2" xfId="12440" xr:uid="{B58815DC-0B5A-4969-AF6E-A9DCA05BBB0B}"/>
    <cellStyle name="Millares 57 4 3" xfId="9520" xr:uid="{867107A0-0505-4D56-A183-07E1F07B810D}"/>
    <cellStyle name="Millares 57 5" xfId="3599" xr:uid="{297DEBE9-368D-44A9-BD00-34A042A70E01}"/>
    <cellStyle name="Millares 57 5 2" xfId="11167" xr:uid="{5044773C-9DD3-491A-B105-712972A2756F}"/>
    <cellStyle name="Millares 57 6" xfId="8247" xr:uid="{CE3A61B9-4053-4937-9E0C-1B7F46858814}"/>
    <cellStyle name="Millares 58" xfId="357" xr:uid="{BA40D590-28B7-40F6-9369-E938CB3EDABF}"/>
    <cellStyle name="Millares 58 2" xfId="1172" xr:uid="{4AC893C9-5F2C-4F2C-B9CE-A544C6072A58}"/>
    <cellStyle name="Millares 58 2 2" xfId="4132" xr:uid="{CDC8570E-03AA-46C4-9673-61325FF58077}"/>
    <cellStyle name="Millares 58 2 2 2" xfId="11700" xr:uid="{F7E755C1-C629-4269-A8B0-266A35D12DD0}"/>
    <cellStyle name="Millares 58 2 3" xfId="8780" xr:uid="{1606F99A-84E9-44E0-94AA-F53CBD4DD506}"/>
    <cellStyle name="Millares 58 3" xfId="1536" xr:uid="{CF129777-402A-401E-BB8A-EBB8EEE675C2}"/>
    <cellStyle name="Millares 58 3 2" xfId="4496" xr:uid="{AC59836A-24A8-4363-8957-2D96176C4356}"/>
    <cellStyle name="Millares 58 3 2 2" xfId="12064" xr:uid="{9A3E148F-553D-4F80-9512-9972D31FDC8E}"/>
    <cellStyle name="Millares 58 3 3" xfId="9144" xr:uid="{6A1B67D7-A289-4CAA-B3A1-3903F3AFC9C7}"/>
    <cellStyle name="Millares 58 4" xfId="1915" xr:uid="{000E5B60-1F1F-4629-9E8E-DA0D2149D652}"/>
    <cellStyle name="Millares 58 4 2" xfId="4874" xr:uid="{7DA60E10-04D5-4A8F-901C-551E4B514FA6}"/>
    <cellStyle name="Millares 58 4 2 2" xfId="12442" xr:uid="{BB67DCCD-A1C4-4983-9B22-5757DC59E85E}"/>
    <cellStyle name="Millares 58 4 3" xfId="9522" xr:uid="{D92B77E4-4143-46A7-B7AF-43DBDD1B47B5}"/>
    <cellStyle name="Millares 58 5" xfId="3601" xr:uid="{F458552D-9C6B-48D9-BE63-670948484BF3}"/>
    <cellStyle name="Millares 58 5 2" xfId="11169" xr:uid="{B1958614-70A9-45FE-A1C7-FD6C21E0D795}"/>
    <cellStyle name="Millares 58 6" xfId="8249" xr:uid="{6185C90F-1346-4826-81D7-629CCBB67743}"/>
    <cellStyle name="Millares 59" xfId="360" xr:uid="{8F1B600E-2DDB-4CBA-A2EC-3D08DAC73D28}"/>
    <cellStyle name="Millares 59 2" xfId="1174" xr:uid="{FF3530A1-71BE-482B-9978-99242E059146}"/>
    <cellStyle name="Millares 59 2 2" xfId="4134" xr:uid="{63688D37-1B75-44BD-A189-4B5D806EEB76}"/>
    <cellStyle name="Millares 59 2 2 2" xfId="11702" xr:uid="{EA73E925-14FC-44BA-8556-58F86F8EFDB8}"/>
    <cellStyle name="Millares 59 2 3" xfId="8782" xr:uid="{3D4C75B1-FC1D-433E-BE7A-6DDCA7EC2E45}"/>
    <cellStyle name="Millares 59 3" xfId="1538" xr:uid="{D85EDDC4-E604-4302-BC19-D03FADDC9F0B}"/>
    <cellStyle name="Millares 59 3 2" xfId="4498" xr:uid="{3FFDB02F-C2BE-45B1-9EA3-322402020C5C}"/>
    <cellStyle name="Millares 59 3 2 2" xfId="12066" xr:uid="{28047A10-AA34-4A64-8AB5-5436B977ACD8}"/>
    <cellStyle name="Millares 59 3 3" xfId="9146" xr:uid="{56D70FCC-4290-4331-8DE1-C96C8AD5F68B}"/>
    <cellStyle name="Millares 59 4" xfId="1917" xr:uid="{86F5BBF9-B0AA-4DE5-9FEA-131DA7F4A8C1}"/>
    <cellStyle name="Millares 59 4 2" xfId="4876" xr:uid="{47CE455E-14DC-4660-B47C-21FC53239520}"/>
    <cellStyle name="Millares 59 4 2 2" xfId="12444" xr:uid="{9ECE1A33-8D56-4DFA-9439-A2811729D4D5}"/>
    <cellStyle name="Millares 59 4 3" xfId="9524" xr:uid="{82703E6F-56C3-46E2-B14C-55605200D04D}"/>
    <cellStyle name="Millares 59 5" xfId="3603" xr:uid="{E83DCB82-F578-49D6-B721-1E7A654FF890}"/>
    <cellStyle name="Millares 59 5 2" xfId="11171" xr:uid="{07FEB825-9CB3-4CB3-97A2-9295F523C21E}"/>
    <cellStyle name="Millares 59 6" xfId="8251" xr:uid="{DD04C4CF-6D70-42E0-9B70-C1A4D8FD596A}"/>
    <cellStyle name="Millares 6" xfId="167" xr:uid="{23FB486B-6492-4D1F-A8DD-C7ED7158A9B0}"/>
    <cellStyle name="Millares 6 10" xfId="2403" xr:uid="{73C72C9B-ADE7-4A81-976A-EA61BFAF7095}"/>
    <cellStyle name="Millares 6 10 2" xfId="6534" xr:uid="{46EB0965-0BEF-439F-B050-833B546A03A6}"/>
    <cellStyle name="Millares 6 10 2 2" xfId="14090" xr:uid="{AF13BD72-83C8-4AA5-B2AE-BACF99899308}"/>
    <cellStyle name="Millares 6 10 3" xfId="7933" xr:uid="{A0F6B40D-998A-43F5-BFED-C8DBFDADD6F2}"/>
    <cellStyle name="Millares 6 10 3 2" xfId="15462" xr:uid="{86C7F3BA-9F99-4D5D-B5F4-541A47074FA2}"/>
    <cellStyle name="Millares 6 10 4" xfId="9991" xr:uid="{8750AC06-C7D3-4547-A7E6-B346588B5C5B}"/>
    <cellStyle name="Millares 6 11" xfId="3476" xr:uid="{676AB1FB-4340-443E-80F2-3F778A134000}"/>
    <cellStyle name="Millares 6 11 2" xfId="11044" xr:uid="{06BCC035-3A0F-4A6E-8EA3-C3DCFE62E75F}"/>
    <cellStyle name="Millares 6 12" xfId="5413" xr:uid="{346E51F8-ED11-4F06-9499-1F0A1D02326A}"/>
    <cellStyle name="Millares 6 12 2" xfId="12974" xr:uid="{87D6E0DB-2682-48C6-A9F8-D457C17D6D9D}"/>
    <cellStyle name="Millares 6 13" xfId="6817" xr:uid="{880B7EC2-BC25-410A-80FC-90900B29C9FA}"/>
    <cellStyle name="Millares 6 13 2" xfId="14346" xr:uid="{DD08AB9E-55A6-46A0-ADD1-641E0387F511}"/>
    <cellStyle name="Millares 6 14" xfId="8124" xr:uid="{106E5972-CD80-4A7D-A03D-B5EF285145C1}"/>
    <cellStyle name="Millares 6 2" xfId="206" xr:uid="{4436F736-7B52-4CCF-A58F-3F15A3105204}"/>
    <cellStyle name="Millares 6 2 2" xfId="2527" xr:uid="{5DCE5A01-804B-4B9A-AC6D-CE93AE40D494}"/>
    <cellStyle name="Millares 6 2 2 2" xfId="6669" xr:uid="{23142D5A-8337-4174-9042-B21A57ACE5E8}"/>
    <cellStyle name="Millares 6 2 2 2 2" xfId="14212" xr:uid="{32868754-0224-4496-9E4C-6916E4E55D5F}"/>
    <cellStyle name="Millares 6 2 2 3" xfId="8055" xr:uid="{9F8DD81B-12F3-448D-AF92-AAEDAEBD4B90}"/>
    <cellStyle name="Millares 6 2 2 3 2" xfId="15584" xr:uid="{7D77DEA3-6064-4627-A071-91C5E3B9F5C3}"/>
    <cellStyle name="Millares 6 2 2 4" xfId="10111" xr:uid="{695753D5-4819-488C-B227-5A9D5AD5ADED}"/>
    <cellStyle name="Millares 6 2 3" xfId="3502" xr:uid="{643912D7-CA06-4D7C-A6A8-654577FB3521}"/>
    <cellStyle name="Millares 6 2 3 2" xfId="11070" xr:uid="{F6A4BECD-2B88-413A-8727-8BE61EB8537D}"/>
    <cellStyle name="Millares 6 2 4" xfId="5533" xr:uid="{49C7A7E6-5216-4A40-8B17-4C19771823D1}"/>
    <cellStyle name="Millares 6 2 4 2" xfId="13094" xr:uid="{8081FFE5-1B08-4FC0-B069-19B3A8244076}"/>
    <cellStyle name="Millares 6 2 5" xfId="6937" xr:uid="{F722E42E-B77B-46FC-9C49-1CA947BF9B95}"/>
    <cellStyle name="Millares 6 2 5 2" xfId="14466" xr:uid="{C9B0EB7E-AF5C-4A76-B67B-BE130C29E9D0}"/>
    <cellStyle name="Millares 6 2 6" xfId="8150" xr:uid="{D477F232-27C3-408F-BE0A-D8E2C06B8D3E}"/>
    <cellStyle name="Millares 6 3" xfId="1068" xr:uid="{DE4B0EF8-0912-4340-91A6-33D6B79D8AAB}"/>
    <cellStyle name="Millares 6 3 2" xfId="2648" xr:uid="{0336A09B-0B0C-4EBB-AC35-A539123FA1D1}"/>
    <cellStyle name="Millares 6 3 2 2" xfId="10231" xr:uid="{F7355036-DED1-4E2D-A5D6-16082C303CD0}"/>
    <cellStyle name="Millares 6 3 3" xfId="4028" xr:uid="{833B4EFE-B551-4AF2-86BD-CB9A683F4050}"/>
    <cellStyle name="Millares 6 3 3 2" xfId="11596" xr:uid="{BC0BBED5-5B7E-4E69-8166-AC5C5F582ED9}"/>
    <cellStyle name="Millares 6 3 4" xfId="5653" xr:uid="{75D7B1AF-4356-4768-B19E-DEDF23B88655}"/>
    <cellStyle name="Millares 6 3 4 2" xfId="13214" xr:uid="{E5217480-57EF-4C63-8DF0-19AED9B53372}"/>
    <cellStyle name="Millares 6 3 5" xfId="7057" xr:uid="{E80F65ED-66A7-4377-829B-5FA9D9403D70}"/>
    <cellStyle name="Millares 6 3 5 2" xfId="14586" xr:uid="{1E5D2F98-1F6E-4424-B83F-0C063E94FF5C}"/>
    <cellStyle name="Millares 6 3 6" xfId="8676" xr:uid="{87AECDEA-35FD-438B-B897-40C688807CB5}"/>
    <cellStyle name="Millares 6 4" xfId="1432" xr:uid="{04873867-1486-4687-A7F8-139064A61568}"/>
    <cellStyle name="Millares 6 4 2" xfId="2770" xr:uid="{64D14995-5FBE-4EF3-A41E-1D997EC1009F}"/>
    <cellStyle name="Millares 6 4 2 2" xfId="10353" xr:uid="{D35F4CCB-4F4D-4091-B087-C3B25788D083}"/>
    <cellStyle name="Millares 6 4 3" xfId="4392" xr:uid="{31E3AD0B-520E-42BF-BAD4-8E6B7B40F595}"/>
    <cellStyle name="Millares 6 4 3 2" xfId="11960" xr:uid="{BC8C67DE-0C9C-4F96-8793-4815A2FB476C}"/>
    <cellStyle name="Millares 6 4 4" xfId="5775" xr:uid="{6EA59468-DAF9-454E-ACB9-34E3700855C4}"/>
    <cellStyle name="Millares 6 4 4 2" xfId="13336" xr:uid="{5A617669-7989-4CA3-8440-A32ACA4D85CA}"/>
    <cellStyle name="Millares 6 4 5" xfId="7179" xr:uid="{C70D4B59-E8E7-4A59-BBEA-A9DEDB60E4C9}"/>
    <cellStyle name="Millares 6 4 5 2" xfId="14708" xr:uid="{ED626D54-8BC6-42BC-90C6-4AC40D9526AE}"/>
    <cellStyle name="Millares 6 4 6" xfId="9040" xr:uid="{9871E9C0-E89F-40FB-ACD6-C623B2D3EBFC}"/>
    <cellStyle name="Millares 6 5" xfId="1811" xr:uid="{B42DE502-41FF-43A5-BBDF-EA78B071726C}"/>
    <cellStyle name="Millares 6 5 2" xfId="2895" xr:uid="{45DA388A-AE3D-4D82-A875-4581CB62947C}"/>
    <cellStyle name="Millares 6 5 2 2" xfId="10477" xr:uid="{7BE0FF8A-37D8-4286-A8BC-6F48975CA33D}"/>
    <cellStyle name="Millares 6 5 3" xfId="4770" xr:uid="{B198D2AF-7858-47E5-B902-8378141274ED}"/>
    <cellStyle name="Millares 6 5 3 2" xfId="12338" xr:uid="{8D4E0C86-AD1B-4D80-A0FB-545FEC263BBF}"/>
    <cellStyle name="Millares 6 5 4" xfId="5899" xr:uid="{5A4E5A9C-5AC1-4C16-AB04-08C5D67B9B83}"/>
    <cellStyle name="Millares 6 5 4 2" xfId="13460" xr:uid="{2181F000-0DCC-4881-A449-6771B8E64CE7}"/>
    <cellStyle name="Millares 6 5 5" xfId="7303" xr:uid="{FB0E0D58-F2EB-45E2-B994-FCD42BE45710}"/>
    <cellStyle name="Millares 6 5 5 2" xfId="14832" xr:uid="{4B8D6F54-9EA5-4D2C-AE5E-D81752647F46}"/>
    <cellStyle name="Millares 6 5 6" xfId="9418" xr:uid="{4AF6C143-1350-4549-B141-79AA065FFC38}"/>
    <cellStyle name="Millares 6 6" xfId="3019" xr:uid="{362CD6AD-C19B-4D26-9581-827A117362D7}"/>
    <cellStyle name="Millares 6 6 2" xfId="6023" xr:uid="{576ADA0B-0B55-4FA6-9FB4-F592C5801FC1}"/>
    <cellStyle name="Millares 6 6 2 2" xfId="13584" xr:uid="{921AAA5E-4966-4CE3-A271-29DFB75A4E39}"/>
    <cellStyle name="Millares 6 6 3" xfId="7427" xr:uid="{FB9C8BE9-4624-4C13-B3C4-42D615A2FCC0}"/>
    <cellStyle name="Millares 6 6 3 2" xfId="14956" xr:uid="{7A2F9D6B-5FD4-4F07-955C-3769A97AE55B}"/>
    <cellStyle name="Millares 6 6 4" xfId="10601" xr:uid="{1F60908E-81C1-4F90-AA0D-31BB1653F137}"/>
    <cellStyle name="Millares 6 7" xfId="3143" xr:uid="{A0FE3EEF-6103-4A48-B4A0-97C23D56AC1F}"/>
    <cellStyle name="Millares 6 7 2" xfId="6147" xr:uid="{F1EE93C5-4535-4C02-A75E-B4C9D23A3ED1}"/>
    <cellStyle name="Millares 6 7 2 2" xfId="13708" xr:uid="{7972A979-2C57-4BF1-A398-0D3B331E2588}"/>
    <cellStyle name="Millares 6 7 3" xfId="7551" xr:uid="{4E536CE5-FFE3-44F3-AE13-1AB7D266C226}"/>
    <cellStyle name="Millares 6 7 3 2" xfId="15080" xr:uid="{FF2FD192-4A4A-4A31-8EF0-2F2A8690166C}"/>
    <cellStyle name="Millares 6 7 4" xfId="10725" xr:uid="{3A02FA1A-8AA9-480D-AC76-413D1F53F95D}"/>
    <cellStyle name="Millares 6 8" xfId="3268" xr:uid="{BEA53F60-CEBC-4ECC-83FD-BE2836DEA753}"/>
    <cellStyle name="Millares 6 8 2" xfId="6272" xr:uid="{16A19689-EDAC-4F7C-8E57-1FAD76BB72DD}"/>
    <cellStyle name="Millares 6 8 2 2" xfId="13833" xr:uid="{3EC80A8A-5ECF-411C-8AB0-BC2E09355B78}"/>
    <cellStyle name="Millares 6 8 3" xfId="7676" xr:uid="{417446B4-3EA9-48E7-B884-6ECCC457F534}"/>
    <cellStyle name="Millares 6 8 3 2" xfId="15205" xr:uid="{445DAA53-F147-433E-9E02-EC38205A95B3}"/>
    <cellStyle name="Millares 6 8 4" xfId="10850" xr:uid="{BAA76C3A-12FC-4120-B927-85AA8A0D1408}"/>
    <cellStyle name="Millares 6 9" xfId="3396" xr:uid="{D8E01135-E7F5-43EF-8D40-6B817118D1FC}"/>
    <cellStyle name="Millares 6 9 2" xfId="6398" xr:uid="{80307113-5440-4088-9AF3-D4CBD598F010}"/>
    <cellStyle name="Millares 6 9 2 2" xfId="13959" xr:uid="{59D90455-6062-4037-A1E6-D17C5778EF55}"/>
    <cellStyle name="Millares 6 9 3" xfId="7802" xr:uid="{7FB68A39-F1A8-4230-A4BF-B84A03C51F9C}"/>
    <cellStyle name="Millares 6 9 3 2" xfId="15331" xr:uid="{BC04C08E-F575-44A4-8A0A-DFCE1B1283CA}"/>
    <cellStyle name="Millares 6 9 4" xfId="10976" xr:uid="{F635595B-A5A1-4937-88CE-B8E8E9A4BE70}"/>
    <cellStyle name="Millares 60" xfId="363" xr:uid="{9F709F76-C480-4FE7-A979-1BE681114761}"/>
    <cellStyle name="Millares 60 2" xfId="1176" xr:uid="{84742145-6E02-41E5-A67E-2D488420B5B3}"/>
    <cellStyle name="Millares 60 2 2" xfId="4136" xr:uid="{3F078D0B-9580-4088-9CF4-001499C7A070}"/>
    <cellStyle name="Millares 60 2 2 2" xfId="11704" xr:uid="{C6EB34E6-8B4B-422B-ACE8-388074A7BA7C}"/>
    <cellStyle name="Millares 60 2 3" xfId="8784" xr:uid="{14703D3E-2923-4886-B517-EC7026F4FE95}"/>
    <cellStyle name="Millares 60 3" xfId="1540" xr:uid="{5FADD5E5-6CC0-4AA9-8470-98D489E3F925}"/>
    <cellStyle name="Millares 60 3 2" xfId="4500" xr:uid="{3F432399-2219-40FC-8F1A-28F3EAAEB8F5}"/>
    <cellStyle name="Millares 60 3 2 2" xfId="12068" xr:uid="{7F6C1E67-0300-454D-8855-EE2C39925006}"/>
    <cellStyle name="Millares 60 3 3" xfId="9148" xr:uid="{FB47EA90-64DF-4696-AD72-B0D32E555ECE}"/>
    <cellStyle name="Millares 60 4" xfId="1919" xr:uid="{DEDAF422-B300-4C1C-A371-BE9976760464}"/>
    <cellStyle name="Millares 60 4 2" xfId="4878" xr:uid="{0F8080D5-CCB3-4087-B32C-D83354341B10}"/>
    <cellStyle name="Millares 60 4 2 2" xfId="12446" xr:uid="{349C51CB-5259-4BC3-9118-9E1414BD9004}"/>
    <cellStyle name="Millares 60 4 3" xfId="9526" xr:uid="{B6978364-E4A7-417D-9C24-379B0D8D1DBC}"/>
    <cellStyle name="Millares 60 5" xfId="3605" xr:uid="{83A3CFCF-AA05-4FA6-8E30-3A067B77DCEF}"/>
    <cellStyle name="Millares 60 5 2" xfId="11173" xr:uid="{6EA8C1AF-7F75-4912-9FB5-96EC7D6EF134}"/>
    <cellStyle name="Millares 60 6" xfId="8253" xr:uid="{E9A03C45-5211-4F2F-B1B4-93061B07EDA8}"/>
    <cellStyle name="Millares 61" xfId="366" xr:uid="{13E1DBB5-784D-4B5B-8B8D-8F48258DEF7C}"/>
    <cellStyle name="Millares 61 2" xfId="1178" xr:uid="{2A3F6570-2876-4E88-8B6E-77995734D042}"/>
    <cellStyle name="Millares 61 2 2" xfId="4138" xr:uid="{BE93CA3F-56B1-4AD9-854B-EC0119814C1D}"/>
    <cellStyle name="Millares 61 2 2 2" xfId="11706" xr:uid="{3400FE54-056D-4B89-AFED-1B4F14FF5CDA}"/>
    <cellStyle name="Millares 61 2 3" xfId="8786" xr:uid="{74F5AFCC-99B2-4C2D-B5B9-4E9458BB0A9E}"/>
    <cellStyle name="Millares 61 3" xfId="1542" xr:uid="{7CA1B0A5-EF1E-4783-9F8A-B7D7CC981E96}"/>
    <cellStyle name="Millares 61 3 2" xfId="4502" xr:uid="{EE2914F8-DE82-4997-92E4-E952351A3A5C}"/>
    <cellStyle name="Millares 61 3 2 2" xfId="12070" xr:uid="{03736983-DD48-48D9-915B-98AB6BF710D6}"/>
    <cellStyle name="Millares 61 3 3" xfId="9150" xr:uid="{F7FD5FD6-D89B-40F0-AAA4-247BFBE2D6F4}"/>
    <cellStyle name="Millares 61 4" xfId="1921" xr:uid="{A37A1C0B-90F2-4A2C-9E0D-D723022ED8BD}"/>
    <cellStyle name="Millares 61 4 2" xfId="4880" xr:uid="{38C87338-42E3-41D6-B6AD-B668E82D361D}"/>
    <cellStyle name="Millares 61 4 2 2" xfId="12448" xr:uid="{A515A9DC-1A16-4360-A8C8-46EBE4D80F98}"/>
    <cellStyle name="Millares 61 4 3" xfId="9528" xr:uid="{24B5A286-AA77-4B29-9D95-0E86DA365634}"/>
    <cellStyle name="Millares 61 5" xfId="3607" xr:uid="{A262B3D2-E6E1-42A2-BE9E-129379E16268}"/>
    <cellStyle name="Millares 61 5 2" xfId="11175" xr:uid="{A2E0A0EB-68EB-495D-9BD8-FE9317A4D291}"/>
    <cellStyle name="Millares 61 6" xfId="8255" xr:uid="{8C8AA886-1C15-4C45-94F9-D7F1B33B876D}"/>
    <cellStyle name="Millares 62" xfId="369" xr:uid="{B907CC27-86EA-4802-BF88-BB3B075A72DB}"/>
    <cellStyle name="Millares 62 2" xfId="1180" xr:uid="{76BF50C4-0A46-4431-B940-D0840745E474}"/>
    <cellStyle name="Millares 62 2 2" xfId="4140" xr:uid="{A18BEC66-7275-42DB-945A-3B95C4FF7C09}"/>
    <cellStyle name="Millares 62 2 2 2" xfId="11708" xr:uid="{D4DCBAAD-8210-41F5-94FE-EEB85879AC9D}"/>
    <cellStyle name="Millares 62 2 3" xfId="8788" xr:uid="{0C4B8FF0-5833-47DC-A3A8-B5990B62EFA0}"/>
    <cellStyle name="Millares 62 3" xfId="1544" xr:uid="{98167543-E9AD-4965-9059-870EB88D3E25}"/>
    <cellStyle name="Millares 62 3 2" xfId="4504" xr:uid="{1ABD02E7-DB9C-4674-9C2B-78E39F563E08}"/>
    <cellStyle name="Millares 62 3 2 2" xfId="12072" xr:uid="{104DDC93-12EA-4D25-9651-150FDA05B988}"/>
    <cellStyle name="Millares 62 3 3" xfId="9152" xr:uid="{86DAAB7B-C26B-45FD-9D88-A3646972EFE2}"/>
    <cellStyle name="Millares 62 4" xfId="1923" xr:uid="{48EF999D-712D-4B7F-A531-992F798C8635}"/>
    <cellStyle name="Millares 62 4 2" xfId="4882" xr:uid="{291B4599-FA39-4160-98BD-F9E7D1873BC5}"/>
    <cellStyle name="Millares 62 4 2 2" xfId="12450" xr:uid="{4E757990-9BC1-4A80-BD5B-D76DDD35D3E6}"/>
    <cellStyle name="Millares 62 4 3" xfId="9530" xr:uid="{1AF2D833-61CC-4655-930C-0BEBFE48EC05}"/>
    <cellStyle name="Millares 62 5" xfId="3609" xr:uid="{F04CFCF0-32ED-45DB-816F-DC21F0C98412}"/>
    <cellStyle name="Millares 62 5 2" xfId="11177" xr:uid="{4DABA826-FB37-406F-A567-A7B04E77A60D}"/>
    <cellStyle name="Millares 62 6" xfId="8257" xr:uid="{A1DB3024-925F-4492-AF93-B997F2C95BC7}"/>
    <cellStyle name="Millares 63" xfId="372" xr:uid="{0438D003-1486-4817-AFA3-B1174362C0CB}"/>
    <cellStyle name="Millares 63 2" xfId="1182" xr:uid="{6254F4CF-886E-4921-A19E-4215208D0DF3}"/>
    <cellStyle name="Millares 63 2 2" xfId="4142" xr:uid="{1BAEF65A-8DD7-4C19-84CC-F466AAA494DC}"/>
    <cellStyle name="Millares 63 2 2 2" xfId="11710" xr:uid="{0B7E7EA9-3648-4005-8E0B-7868B2605DCA}"/>
    <cellStyle name="Millares 63 2 3" xfId="8790" xr:uid="{DCB44FD1-5E29-4843-BC3B-24147F1D3ACB}"/>
    <cellStyle name="Millares 63 3" xfId="1546" xr:uid="{72C86118-2497-4EAC-8D34-3DF1D99954E6}"/>
    <cellStyle name="Millares 63 3 2" xfId="4506" xr:uid="{629C45D1-04EB-4B7C-AA61-A1D188C1FA27}"/>
    <cellStyle name="Millares 63 3 2 2" xfId="12074" xr:uid="{25EC1127-A6A1-4AD8-BB56-DB29142EC2D6}"/>
    <cellStyle name="Millares 63 3 3" xfId="9154" xr:uid="{CCEB7604-C84A-449F-8AAE-BC4273966C20}"/>
    <cellStyle name="Millares 63 4" xfId="1925" xr:uid="{243AAE94-DBB5-439D-9C36-2BA2C588FEAE}"/>
    <cellStyle name="Millares 63 4 2" xfId="4884" xr:uid="{F8B58D00-5796-463E-ABD3-951240309AC4}"/>
    <cellStyle name="Millares 63 4 2 2" xfId="12452" xr:uid="{65CF8341-E642-4320-AE69-C010D0FC5FDD}"/>
    <cellStyle name="Millares 63 4 3" xfId="9532" xr:uid="{E749C13C-901F-4207-8F06-4F7F3CDA33F4}"/>
    <cellStyle name="Millares 63 5" xfId="3611" xr:uid="{E54F0C43-F1C0-4B35-AFC9-91547C2D0535}"/>
    <cellStyle name="Millares 63 5 2" xfId="11179" xr:uid="{14E38C7E-4210-499A-A7AF-D11AB6A71E33}"/>
    <cellStyle name="Millares 63 6" xfId="8259" xr:uid="{FB99F220-459C-4034-B4B3-190D11C1E9BA}"/>
    <cellStyle name="Millares 64" xfId="375" xr:uid="{F73FA4CD-712A-4798-B329-CFC56E56388B}"/>
    <cellStyle name="Millares 64 2" xfId="1184" xr:uid="{FC16EFC5-53D6-4736-B549-C35898094D7B}"/>
    <cellStyle name="Millares 64 2 2" xfId="4144" xr:uid="{29C5EAE4-EF34-49C5-AF50-37DC16848761}"/>
    <cellStyle name="Millares 64 2 2 2" xfId="11712" xr:uid="{B7814186-F0B3-4237-9D63-929E40486E25}"/>
    <cellStyle name="Millares 64 2 3" xfId="8792" xr:uid="{1F7036E3-06CC-43F4-8463-65301837C567}"/>
    <cellStyle name="Millares 64 3" xfId="1548" xr:uid="{6E217F12-2D13-442E-8582-8842257253FE}"/>
    <cellStyle name="Millares 64 3 2" xfId="4508" xr:uid="{1EB0CA3E-EBAE-4CC3-8693-D091C31279B0}"/>
    <cellStyle name="Millares 64 3 2 2" xfId="12076" xr:uid="{4E184008-DBDB-40A9-ACA9-E23ED7C18B12}"/>
    <cellStyle name="Millares 64 3 3" xfId="9156" xr:uid="{CAE85A60-6254-463A-B17B-F117B322267C}"/>
    <cellStyle name="Millares 64 4" xfId="1927" xr:uid="{3168B78F-2919-4CAA-A513-23454A4A697E}"/>
    <cellStyle name="Millares 64 4 2" xfId="4886" xr:uid="{41C416B2-D855-4FAF-B1FF-992A42744FBD}"/>
    <cellStyle name="Millares 64 4 2 2" xfId="12454" xr:uid="{5DC4F893-641B-4F73-A48E-DCC47AFBD963}"/>
    <cellStyle name="Millares 64 4 3" xfId="9534" xr:uid="{F003EB91-C9BE-460B-AB93-AB6150734637}"/>
    <cellStyle name="Millares 64 5" xfId="3613" xr:uid="{28AF4D15-74B2-4043-B2E4-A688AFDE7088}"/>
    <cellStyle name="Millares 64 5 2" xfId="11181" xr:uid="{61EFCABF-C669-4212-A3FD-AB4000BF7B9A}"/>
    <cellStyle name="Millares 64 6" xfId="8261" xr:uid="{573E11C4-3726-41DC-9924-D8BB8E8F5CD7}"/>
    <cellStyle name="Millares 65" xfId="378" xr:uid="{DB6186AE-95D8-41AB-A9E9-2CAA314CE0F7}"/>
    <cellStyle name="Millares 65 2" xfId="1186" xr:uid="{C6DDEB99-7790-4B28-81B1-9B530CD2E425}"/>
    <cellStyle name="Millares 65 2 2" xfId="4146" xr:uid="{DCE7C44C-DD03-4ABB-80A7-FDE85D038B23}"/>
    <cellStyle name="Millares 65 2 2 2" xfId="11714" xr:uid="{E065970A-C5CF-448A-832F-DE0A701929F2}"/>
    <cellStyle name="Millares 65 2 3" xfId="8794" xr:uid="{C886E5C0-33CE-4C8F-801D-9763B2F8C681}"/>
    <cellStyle name="Millares 65 3" xfId="1550" xr:uid="{22C8661A-DA93-4C1C-A288-D57CF80F5093}"/>
    <cellStyle name="Millares 65 3 2" xfId="4510" xr:uid="{9C3775BB-88B1-4026-91D5-E4592243E4CA}"/>
    <cellStyle name="Millares 65 3 2 2" xfId="12078" xr:uid="{E6CF4096-325A-445C-9CDA-871309CA7759}"/>
    <cellStyle name="Millares 65 3 3" xfId="9158" xr:uid="{C2E33E59-11FA-4EED-A556-88D430E6B62A}"/>
    <cellStyle name="Millares 65 4" xfId="1929" xr:uid="{7B8CC2CC-02FF-437E-9BE2-168D57E446BC}"/>
    <cellStyle name="Millares 65 4 2" xfId="4888" xr:uid="{0B42EB77-2A44-4C08-89AB-97485641647B}"/>
    <cellStyle name="Millares 65 4 2 2" xfId="12456" xr:uid="{2761E73C-A866-4CB7-AE84-AB4C653DF888}"/>
    <cellStyle name="Millares 65 4 3" xfId="9536" xr:uid="{A99DD187-B971-44D1-AB95-9149D8DB4819}"/>
    <cellStyle name="Millares 65 5" xfId="3615" xr:uid="{9296B643-2FC3-4B43-9B1F-D2DCBA499686}"/>
    <cellStyle name="Millares 65 5 2" xfId="11183" xr:uid="{B5432B93-E6D8-43D5-A7A8-C9BF66756992}"/>
    <cellStyle name="Millares 65 6" xfId="8263" xr:uid="{8D290390-C59C-42C0-B47E-70C3DF2451FA}"/>
    <cellStyle name="Millares 66" xfId="381" xr:uid="{F0E7478B-424C-4DE8-84A3-EC8E042D1AD7}"/>
    <cellStyle name="Millares 66 2" xfId="1188" xr:uid="{566CBEC8-BEB9-47C1-B4F9-FF4BBAA49214}"/>
    <cellStyle name="Millares 66 2 2" xfId="4148" xr:uid="{A3BF1A84-0677-413C-BA89-B7DAF6CEFFDE}"/>
    <cellStyle name="Millares 66 2 2 2" xfId="11716" xr:uid="{4E6C6B50-3303-4391-A1F6-33EE2B9DA082}"/>
    <cellStyle name="Millares 66 2 3" xfId="8796" xr:uid="{5B3F0690-A66A-4E97-81F5-039B95BCBC03}"/>
    <cellStyle name="Millares 66 3" xfId="1552" xr:uid="{1B2D683A-C651-4517-AC49-02FC87A8DA33}"/>
    <cellStyle name="Millares 66 3 2" xfId="4512" xr:uid="{1CF36B7B-CDCD-4D84-A340-B98744917282}"/>
    <cellStyle name="Millares 66 3 2 2" xfId="12080" xr:uid="{553962AC-2CD0-4356-91E9-4AE2A49E2E8B}"/>
    <cellStyle name="Millares 66 3 3" xfId="9160" xr:uid="{205888D4-BDC8-4E6C-880D-A45DE58CBF94}"/>
    <cellStyle name="Millares 66 4" xfId="1931" xr:uid="{00FB36F9-8C81-464E-B981-55EDA63743EE}"/>
    <cellStyle name="Millares 66 4 2" xfId="4890" xr:uid="{8FBFBEFE-CB55-4B19-9102-E2B21F58BB87}"/>
    <cellStyle name="Millares 66 4 2 2" xfId="12458" xr:uid="{9E133A50-6700-481E-8A0A-64927F8D5417}"/>
    <cellStyle name="Millares 66 4 3" xfId="9538" xr:uid="{C06F4702-366C-4B66-AFE1-E0CC2032587B}"/>
    <cellStyle name="Millares 66 5" xfId="3617" xr:uid="{50F35207-1B28-4120-BF85-CCAF0909AC6F}"/>
    <cellStyle name="Millares 66 5 2" xfId="11185" xr:uid="{BFE3E701-9734-4A38-A2C6-056B111F4B4F}"/>
    <cellStyle name="Millares 66 6" xfId="8265" xr:uid="{1BE7CB42-C517-4706-8343-521A0B8180A0}"/>
    <cellStyle name="Millares 67" xfId="384" xr:uid="{C0B98B4A-5F49-45F5-905D-3E82117A0D63}"/>
    <cellStyle name="Millares 67 2" xfId="1190" xr:uid="{BC043667-DA4C-4F54-A289-6AF4B0323E96}"/>
    <cellStyle name="Millares 67 2 2" xfId="4150" xr:uid="{68A143C1-4A68-4218-8D4B-0C4D04E93BD5}"/>
    <cellStyle name="Millares 67 2 2 2" xfId="11718" xr:uid="{0F12A946-DBF5-44EC-B94B-CDB20FEF302E}"/>
    <cellStyle name="Millares 67 2 3" xfId="8798" xr:uid="{D93293CE-49DE-4356-8AA3-6B98E12A1E81}"/>
    <cellStyle name="Millares 67 3" xfId="1554" xr:uid="{E9CE67FD-6935-4C81-9648-1BCBE732E601}"/>
    <cellStyle name="Millares 67 3 2" xfId="4514" xr:uid="{F0A55FA5-A7B2-41DC-BC55-65A372DCB859}"/>
    <cellStyle name="Millares 67 3 2 2" xfId="12082" xr:uid="{241D79F4-3023-4935-8F49-93A8A1AAB88A}"/>
    <cellStyle name="Millares 67 3 3" xfId="9162" xr:uid="{FE824BAB-0FDD-45D2-85F8-373122BE8C8C}"/>
    <cellStyle name="Millares 67 4" xfId="1933" xr:uid="{8D9A93C5-04E1-4CC7-81E2-B2B317D6B68F}"/>
    <cellStyle name="Millares 67 4 2" xfId="4892" xr:uid="{F075ACDE-7860-498F-8FD3-C33F3CE97297}"/>
    <cellStyle name="Millares 67 4 2 2" xfId="12460" xr:uid="{DF14789C-2883-4A18-B22C-47E02D6FD3FD}"/>
    <cellStyle name="Millares 67 4 3" xfId="9540" xr:uid="{820FBB4C-D6C1-4A22-BFC6-EDE204CB7BF9}"/>
    <cellStyle name="Millares 67 5" xfId="3619" xr:uid="{8E717AE7-DC1C-4C9F-A256-9F9D8296266F}"/>
    <cellStyle name="Millares 67 5 2" xfId="11187" xr:uid="{80A78FF5-24B8-40E2-8CCD-C6CBB64F8C90}"/>
    <cellStyle name="Millares 67 6" xfId="8267" xr:uid="{38B9780C-FDD6-4586-8D0F-C36DBDB60E69}"/>
    <cellStyle name="Millares 68" xfId="387" xr:uid="{F8F4D835-A3B2-410A-A4E1-A247F1831DED}"/>
    <cellStyle name="Millares 68 2" xfId="1192" xr:uid="{9984260F-4AAF-4716-AE14-78BA465D8A0F}"/>
    <cellStyle name="Millares 68 2 2" xfId="4152" xr:uid="{2267490A-834C-40B7-BBA7-60DA36405818}"/>
    <cellStyle name="Millares 68 2 2 2" xfId="11720" xr:uid="{E4A37CDE-5AD0-42F4-8DD5-BEB55C7A07F7}"/>
    <cellStyle name="Millares 68 2 3" xfId="8800" xr:uid="{22DF2340-813F-4960-831A-0E77D59135A5}"/>
    <cellStyle name="Millares 68 3" xfId="1556" xr:uid="{1146CE4D-1228-4FAE-B7A3-C4F6ECAAA2AB}"/>
    <cellStyle name="Millares 68 3 2" xfId="4516" xr:uid="{A3CD92CD-8392-46A8-BADE-07C1BE23C971}"/>
    <cellStyle name="Millares 68 3 2 2" xfId="12084" xr:uid="{F6F98C1C-C7B4-4E91-A079-9944753294B1}"/>
    <cellStyle name="Millares 68 3 3" xfId="9164" xr:uid="{97751D55-2F37-4317-9964-E4173E29BD60}"/>
    <cellStyle name="Millares 68 4" xfId="1935" xr:uid="{0C610D6B-F257-4D43-83BE-27242538E734}"/>
    <cellStyle name="Millares 68 4 2" xfId="4894" xr:uid="{BB7B61FB-7F80-4B73-84D5-9E95B5F97337}"/>
    <cellStyle name="Millares 68 4 2 2" xfId="12462" xr:uid="{56FCDC01-563A-43C4-BE7D-F3A0E1F26832}"/>
    <cellStyle name="Millares 68 4 3" xfId="9542" xr:uid="{2FB9C6F8-27EB-470B-9FB9-0F9AD6E36E96}"/>
    <cellStyle name="Millares 68 5" xfId="3621" xr:uid="{76D0D5A1-1E53-4633-BD88-473794A08F72}"/>
    <cellStyle name="Millares 68 5 2" xfId="11189" xr:uid="{5300D01E-57FE-4D39-BAC9-C14076F39E16}"/>
    <cellStyle name="Millares 68 6" xfId="8269" xr:uid="{55889C1A-E3BA-4973-80BC-B64112A7733E}"/>
    <cellStyle name="Millares 69" xfId="390" xr:uid="{AFBEA500-C7CA-48F5-AA05-155CF0D58C84}"/>
    <cellStyle name="Millares 69 2" xfId="1194" xr:uid="{9839AA95-96AE-46DD-A522-65687A006232}"/>
    <cellStyle name="Millares 69 2 2" xfId="4154" xr:uid="{928D577C-7786-40BD-A542-790017CE7CD0}"/>
    <cellStyle name="Millares 69 2 2 2" xfId="11722" xr:uid="{68968CA6-3B38-4AA4-88EE-9F1B1E36823A}"/>
    <cellStyle name="Millares 69 2 3" xfId="8802" xr:uid="{C98AEA90-BA4A-41B1-B585-D9DC2C318265}"/>
    <cellStyle name="Millares 69 3" xfId="1558" xr:uid="{F80F34E8-364A-475D-8947-45B952471D17}"/>
    <cellStyle name="Millares 69 3 2" xfId="4518" xr:uid="{5847AE71-216E-422A-ABD4-16686CA59A12}"/>
    <cellStyle name="Millares 69 3 2 2" xfId="12086" xr:uid="{52837FA4-6334-41AD-8E0B-0C75FD98905E}"/>
    <cellStyle name="Millares 69 3 3" xfId="9166" xr:uid="{38CCBD8C-5121-4D7D-9A85-2E2B64D17986}"/>
    <cellStyle name="Millares 69 4" xfId="1937" xr:uid="{01304F6A-673D-4FFE-A59A-5BD57B162616}"/>
    <cellStyle name="Millares 69 4 2" xfId="4896" xr:uid="{F99FB558-2BF5-4696-A647-70FC7ADEB0BB}"/>
    <cellStyle name="Millares 69 4 2 2" xfId="12464" xr:uid="{1FAE8441-F4F4-4CA9-8D4B-50DE1CEBA7C4}"/>
    <cellStyle name="Millares 69 4 3" xfId="9544" xr:uid="{897854E9-51F9-4B6D-9A94-02CCC8CDD38F}"/>
    <cellStyle name="Millares 69 5" xfId="3623" xr:uid="{3598A93B-86EE-4A71-BD98-D79F051B68BF}"/>
    <cellStyle name="Millares 69 5 2" xfId="11191" xr:uid="{EA305847-91F7-487D-A1D0-56D8919C0413}"/>
    <cellStyle name="Millares 69 6" xfId="8271" xr:uid="{DF1469B8-B36D-4446-BFDE-3E9049142769}"/>
    <cellStyle name="Millares 7" xfId="168" xr:uid="{73D7B251-2260-4D5A-954C-4A118E26DA8C}"/>
    <cellStyle name="Millares 7 10" xfId="3477" xr:uid="{B4A6E5A9-D383-4357-85F9-94428E62A2AE}"/>
    <cellStyle name="Millares 7 10 2" xfId="11045" xr:uid="{BDDC53B1-312C-4BB8-9A97-182CE88BCFAB}"/>
    <cellStyle name="Millares 7 11" xfId="5474" xr:uid="{73B17079-8E9D-4E26-BE3D-D13B9C39FC71}"/>
    <cellStyle name="Millares 7 11 2" xfId="13035" xr:uid="{663B44E9-D324-4870-98FF-28BCAF435B34}"/>
    <cellStyle name="Millares 7 12" xfId="6878" xr:uid="{4B4DF6AD-14EF-46A1-A10E-D2BFA720BAA0}"/>
    <cellStyle name="Millares 7 12 2" xfId="14407" xr:uid="{4259AB75-B0EB-4E85-AF9A-8697D334D1B9}"/>
    <cellStyle name="Millares 7 13" xfId="8125" xr:uid="{3ED6028C-1C35-4E0C-8FC2-E39D5CA35A67}"/>
    <cellStyle name="Millares 7 2" xfId="208" xr:uid="{DE7D9DBF-0C45-4927-A719-919FC1E53D34}"/>
    <cellStyle name="Millares 7 2 2" xfId="2590" xr:uid="{29683887-EB4C-4F02-BC28-79FB244CCBFB}"/>
    <cellStyle name="Millares 7 2 2 2" xfId="6611" xr:uid="{36E4036C-5508-4B0E-9F60-E1478AFC6193}"/>
    <cellStyle name="Millares 7 2 2 2 2" xfId="14154" xr:uid="{AF0CBC78-58D4-4AF0-B8DF-4E919F6A2D89}"/>
    <cellStyle name="Millares 7 2 2 3" xfId="7997" xr:uid="{0FAB0B12-4AD7-4198-B8DB-D5FC224DE9EE}"/>
    <cellStyle name="Millares 7 2 2 3 2" xfId="15526" xr:uid="{46AF06E5-F409-466B-BF58-DB3EF83EECF6}"/>
    <cellStyle name="Millares 7 2 2 4" xfId="10173" xr:uid="{11F878F5-8F5D-4CEC-8E0F-977669A4594F}"/>
    <cellStyle name="Millares 7 2 3" xfId="3503" xr:uid="{FB1084BB-2A19-4FC6-A334-FCC23190BC44}"/>
    <cellStyle name="Millares 7 2 3 2" xfId="11071" xr:uid="{B3EE8C82-37B4-44E1-8DCB-EE4493A83AEE}"/>
    <cellStyle name="Millares 7 2 4" xfId="5595" xr:uid="{80E2149A-14FD-4941-8C16-1CC1D8E1E7F6}"/>
    <cellStyle name="Millares 7 2 4 2" xfId="13156" xr:uid="{C6C2299D-D2D9-44E6-9F8F-1B920009937D}"/>
    <cellStyle name="Millares 7 2 5" xfId="6999" xr:uid="{A1FBA498-9869-46EE-B8F5-ACA1FCA49316}"/>
    <cellStyle name="Millares 7 2 5 2" xfId="14528" xr:uid="{7E0E6124-051E-43D2-8CA3-260ECA4E7D0C}"/>
    <cellStyle name="Millares 7 2 6" xfId="8151" xr:uid="{4C7EF790-3658-4F4A-91C6-ACC7A849F9EC}"/>
    <cellStyle name="Millares 7 3" xfId="1070" xr:uid="{30FB2E71-7CE3-4BE1-BB4B-AA185FA5A6D8}"/>
    <cellStyle name="Millares 7 3 2" xfId="2712" xr:uid="{35320ECF-5C7F-4F2A-96A5-9F692DFF7A19}"/>
    <cellStyle name="Millares 7 3 2 2" xfId="10295" xr:uid="{6B2AAE2C-42AA-4407-972E-9F8396446A95}"/>
    <cellStyle name="Millares 7 3 3" xfId="4030" xr:uid="{6CE95A62-AE76-471B-874D-5BAFB42A1700}"/>
    <cellStyle name="Millares 7 3 3 2" xfId="11598" xr:uid="{88701883-0BB8-40A7-A6E4-F0793887B220}"/>
    <cellStyle name="Millares 7 3 4" xfId="5717" xr:uid="{2DFECBBD-236A-42BB-B1A4-749FB793E87F}"/>
    <cellStyle name="Millares 7 3 4 2" xfId="13278" xr:uid="{4BEC6597-57AC-4177-88FC-7393AFFC79B4}"/>
    <cellStyle name="Millares 7 3 5" xfId="7121" xr:uid="{6A0F1684-669D-4F58-88A5-9C94B4CEE3BB}"/>
    <cellStyle name="Millares 7 3 5 2" xfId="14650" xr:uid="{C9470A75-9F5B-415E-B028-4DB29D2D1833}"/>
    <cellStyle name="Millares 7 3 6" xfId="8678" xr:uid="{E1DF0AFD-218B-4BD0-AE44-B967783FAF31}"/>
    <cellStyle name="Millares 7 4" xfId="1434" xr:uid="{BE391A1F-15AE-43AB-A289-882722C99FD9}"/>
    <cellStyle name="Millares 7 4 2" xfId="2837" xr:uid="{19E8619B-3D37-4E0D-B202-36A349076537}"/>
    <cellStyle name="Millares 7 4 2 2" xfId="10419" xr:uid="{24F5E0C7-FCE0-4481-8175-02C5C7BF0714}"/>
    <cellStyle name="Millares 7 4 3" xfId="4394" xr:uid="{DE9C8342-E41F-49CE-B21E-78AB15EA61F3}"/>
    <cellStyle name="Millares 7 4 3 2" xfId="11962" xr:uid="{23F3315F-19AA-498C-9FC8-44F2D9795605}"/>
    <cellStyle name="Millares 7 4 4" xfId="5841" xr:uid="{5F7E86B1-B57C-4112-90D6-A51A82D54C53}"/>
    <cellStyle name="Millares 7 4 4 2" xfId="13402" xr:uid="{F2FC64A1-DA8B-4EBD-86BA-078517793808}"/>
    <cellStyle name="Millares 7 4 5" xfId="7245" xr:uid="{36409C24-79FA-44BB-B4E7-AAB5CC7F101F}"/>
    <cellStyle name="Millares 7 4 5 2" xfId="14774" xr:uid="{41421F06-3ED1-4BD8-B98E-3C78EA1A2247}"/>
    <cellStyle name="Millares 7 4 6" xfId="9042" xr:uid="{A7B50C50-7206-446B-85D3-2F5A67711A3C}"/>
    <cellStyle name="Millares 7 5" xfId="1813" xr:uid="{3D0BFD03-4074-445A-A139-A7CB24D39D1A}"/>
    <cellStyle name="Millares 7 5 2" xfId="2961" xr:uid="{F11CFA5C-462C-4C1F-A404-FBCE363D26F1}"/>
    <cellStyle name="Millares 7 5 2 2" xfId="10543" xr:uid="{2E0FD3FC-C8C2-4E9E-A518-3493D01FE94B}"/>
    <cellStyle name="Millares 7 5 3" xfId="4772" xr:uid="{D6E5209E-1297-4822-B38D-090C58E8F3DD}"/>
    <cellStyle name="Millares 7 5 3 2" xfId="12340" xr:uid="{99780517-92C2-4913-818C-09EB71A2D568}"/>
    <cellStyle name="Millares 7 5 4" xfId="5965" xr:uid="{710A2038-D4D4-489C-8446-7DAA35706818}"/>
    <cellStyle name="Millares 7 5 4 2" xfId="13526" xr:uid="{868FA940-C891-4471-8082-0CE8F6811C53}"/>
    <cellStyle name="Millares 7 5 5" xfId="7369" xr:uid="{D7195B75-807D-41D4-B368-B7C253D8419C}"/>
    <cellStyle name="Millares 7 5 5 2" xfId="14898" xr:uid="{5F3F317C-5108-4A6B-BED6-7A858094B509}"/>
    <cellStyle name="Millares 7 5 6" xfId="9420" xr:uid="{C0600473-42FE-40C5-B933-5632D39FD8B4}"/>
    <cellStyle name="Millares 7 6" xfId="3085" xr:uid="{80964107-D840-4342-B358-036FB1A88A0B}"/>
    <cellStyle name="Millares 7 6 2" xfId="6089" xr:uid="{70854323-340E-4140-8602-945160C1F16E}"/>
    <cellStyle name="Millares 7 6 2 2" xfId="13650" xr:uid="{D49A414C-6388-4EE5-84D8-9381A9804661}"/>
    <cellStyle name="Millares 7 6 3" xfId="7493" xr:uid="{2BAA0C81-2BC7-478F-AA57-056A45435D29}"/>
    <cellStyle name="Millares 7 6 3 2" xfId="15022" xr:uid="{107A5A82-2F21-4E0F-B4D2-844867932826}"/>
    <cellStyle name="Millares 7 6 4" xfId="10667" xr:uid="{591F357E-990F-4DEE-9CC7-7B2F1E31797C}"/>
    <cellStyle name="Millares 7 7" xfId="3210" xr:uid="{0654E696-68E6-4907-9011-64CDFE7D0E82}"/>
    <cellStyle name="Millares 7 7 2" xfId="6214" xr:uid="{FBFB5378-6A41-48DC-90B0-A04CBCEB57AD}"/>
    <cellStyle name="Millares 7 7 2 2" xfId="13775" xr:uid="{5B801532-891D-4824-880A-DC9296C571DC}"/>
    <cellStyle name="Millares 7 7 3" xfId="7618" xr:uid="{7C3DC098-614D-4629-BF62-C27F4F5A06AC}"/>
    <cellStyle name="Millares 7 7 3 2" xfId="15147" xr:uid="{A7BC6C71-E296-413A-8D29-D26E6F82A8D4}"/>
    <cellStyle name="Millares 7 7 4" xfId="10792" xr:uid="{63EC7E1F-78B1-4E0F-994F-87FF2C179D0E}"/>
    <cellStyle name="Millares 7 8" xfId="3338" xr:uid="{1089C589-88EB-491C-A1E7-B8D3EFD4552F}"/>
    <cellStyle name="Millares 7 8 2" xfId="6340" xr:uid="{35F11C8E-76A1-43BC-99D9-9797CF02C72A}"/>
    <cellStyle name="Millares 7 8 2 2" xfId="13901" xr:uid="{F0026FD5-63D9-444E-BAF9-837CB4D93BA3}"/>
    <cellStyle name="Millares 7 8 3" xfId="7744" xr:uid="{1F0633F5-7F45-42E0-8ADB-9AE91DCE5AFB}"/>
    <cellStyle name="Millares 7 8 3 2" xfId="15273" xr:uid="{4B7F4FE9-A39C-45E1-B9E9-92BD693E0794}"/>
    <cellStyle name="Millares 7 8 4" xfId="10918" xr:uid="{1B9E854E-11DE-49A9-A152-D3EDCC818BEF}"/>
    <cellStyle name="Millares 7 9" xfId="2468" xr:uid="{87A9EA10-8EEA-429E-B616-0A5E45FADC4C}"/>
    <cellStyle name="Millares 7 9 2" xfId="6476" xr:uid="{2B172E78-AB78-4F11-B451-C29F83E8F6BB}"/>
    <cellStyle name="Millares 7 9 2 2" xfId="14032" xr:uid="{B8E7D2A8-8EDF-4924-95A5-1EFD9BA938B8}"/>
    <cellStyle name="Millares 7 9 3" xfId="7875" xr:uid="{50CDC586-9F56-4A9A-8328-6D52EC3CB09B}"/>
    <cellStyle name="Millares 7 9 3 2" xfId="15404" xr:uid="{4E2A2C66-0145-46E9-B6B3-1AEA7D5A130B}"/>
    <cellStyle name="Millares 7 9 4" xfId="10052" xr:uid="{EFB0314D-1356-45B7-84E8-C73085485A8F}"/>
    <cellStyle name="Millares 70" xfId="393" xr:uid="{0A272716-E204-41CC-AC93-015B4DBA290B}"/>
    <cellStyle name="Millares 70 2" xfId="1196" xr:uid="{B2B6E2E3-29C3-4108-A4E2-459A056272F6}"/>
    <cellStyle name="Millares 70 2 2" xfId="4156" xr:uid="{C29208A9-82F1-4E66-B3F2-CC171B5A67C6}"/>
    <cellStyle name="Millares 70 2 2 2" xfId="11724" xr:uid="{6702432D-61B6-4325-814D-2CF51CB6A196}"/>
    <cellStyle name="Millares 70 2 3" xfId="8804" xr:uid="{90C91CCB-E62E-4F94-8AED-DA6B76EB3692}"/>
    <cellStyle name="Millares 70 3" xfId="1560" xr:uid="{359A98E5-B902-4CB6-AAC1-99A87E04406E}"/>
    <cellStyle name="Millares 70 3 2" xfId="4520" xr:uid="{E18E0BD3-DC7C-4CCD-BECA-DD704F468900}"/>
    <cellStyle name="Millares 70 3 2 2" xfId="12088" xr:uid="{8104C510-F43B-47C1-B800-29F3EF531AA7}"/>
    <cellStyle name="Millares 70 3 3" xfId="9168" xr:uid="{5F321899-E53B-4306-83AC-8FAFF519AFDF}"/>
    <cellStyle name="Millares 70 4" xfId="1939" xr:uid="{97925ED4-BFE2-4710-B1FA-CD9E674FC9C9}"/>
    <cellStyle name="Millares 70 4 2" xfId="4898" xr:uid="{E79A4B70-7D51-4E44-94AA-BA0E1655E036}"/>
    <cellStyle name="Millares 70 4 2 2" xfId="12466" xr:uid="{87B8215C-3F18-499E-AFCE-674D6D48306D}"/>
    <cellStyle name="Millares 70 4 3" xfId="9546" xr:uid="{32438A59-AB79-4940-B6E3-E4CFBA4CF9B0}"/>
    <cellStyle name="Millares 70 5" xfId="3625" xr:uid="{E3E843A4-182E-4230-AD0B-F9275E2D69FA}"/>
    <cellStyle name="Millares 70 5 2" xfId="11193" xr:uid="{9187E197-7AC2-4B2F-AB54-40F4D2DF1D2F}"/>
    <cellStyle name="Millares 70 6" xfId="8273" xr:uid="{246A5B3A-73F7-46C3-920E-E34AFF05F3F4}"/>
    <cellStyle name="Millares 71" xfId="396" xr:uid="{3737AC86-45CE-45DA-93A4-A9E308B1C6BE}"/>
    <cellStyle name="Millares 71 2" xfId="1198" xr:uid="{6A61570F-1AAC-44BB-BFEC-CE604E8BB56F}"/>
    <cellStyle name="Millares 71 2 2" xfId="4158" xr:uid="{E3513740-FDA8-49C4-ACF7-27660A462FA0}"/>
    <cellStyle name="Millares 71 2 2 2" xfId="11726" xr:uid="{4874DECD-3CAF-4292-A28A-D6C4A5F2100D}"/>
    <cellStyle name="Millares 71 2 3" xfId="8806" xr:uid="{95E7298C-D3C7-413B-8EA5-6F2E766CBDC8}"/>
    <cellStyle name="Millares 71 3" xfId="1562" xr:uid="{76A701B7-B2B6-45AE-816D-6BFC816473D4}"/>
    <cellStyle name="Millares 71 3 2" xfId="4522" xr:uid="{399638B6-91B1-4840-A7BE-639FE627FB7C}"/>
    <cellStyle name="Millares 71 3 2 2" xfId="12090" xr:uid="{FF11E8FC-AF54-4FAC-BF40-FEB5117F6E4D}"/>
    <cellStyle name="Millares 71 3 3" xfId="9170" xr:uid="{062C549E-22E7-47D1-A389-5520D658A772}"/>
    <cellStyle name="Millares 71 4" xfId="1941" xr:uid="{4E51DCC7-A0C0-4090-B003-0BBF8BD037DC}"/>
    <cellStyle name="Millares 71 4 2" xfId="4900" xr:uid="{D6652C89-33BF-438A-952A-692AE4A63FEF}"/>
    <cellStyle name="Millares 71 4 2 2" xfId="12468" xr:uid="{0D009211-E21A-4D42-A0A9-8AA44227D2DA}"/>
    <cellStyle name="Millares 71 4 3" xfId="9548" xr:uid="{296A6080-55C4-4299-A45C-C71556739EAC}"/>
    <cellStyle name="Millares 71 5" xfId="3627" xr:uid="{128DAA73-9837-49DD-9ECC-838CF54804CC}"/>
    <cellStyle name="Millares 71 5 2" xfId="11195" xr:uid="{BCC6EE6B-A091-4E61-B690-3E54D8BE2744}"/>
    <cellStyle name="Millares 71 6" xfId="8275" xr:uid="{0034D651-A97F-42D7-A6B0-126EC824CDF2}"/>
    <cellStyle name="Millares 72" xfId="399" xr:uid="{70DE9569-EDA6-41E2-A4B5-DB0E190D884F}"/>
    <cellStyle name="Millares 72 2" xfId="1200" xr:uid="{313F3F0D-5DAA-4EC5-8909-6FAC21E0F832}"/>
    <cellStyle name="Millares 72 2 2" xfId="4160" xr:uid="{087DB7D1-6BBC-466F-9B06-9CA6E499ED67}"/>
    <cellStyle name="Millares 72 2 2 2" xfId="11728" xr:uid="{9BC7DC4A-82B9-42F0-B141-5B8070A3FEE7}"/>
    <cellStyle name="Millares 72 2 3" xfId="8808" xr:uid="{E494EFE2-B847-493D-B9E8-8076DB1945C0}"/>
    <cellStyle name="Millares 72 3" xfId="1564" xr:uid="{91A2571E-5933-4040-9ABB-6250CCCC6EAF}"/>
    <cellStyle name="Millares 72 3 2" xfId="4524" xr:uid="{EE7F9E80-00EC-4ECE-89D4-259484FB1BAB}"/>
    <cellStyle name="Millares 72 3 2 2" xfId="12092" xr:uid="{CA8300B5-7D83-49A6-A2D3-6E0623F5E111}"/>
    <cellStyle name="Millares 72 3 3" xfId="9172" xr:uid="{CA3FC4A6-4C18-4F96-B7C8-EC4E33247CAD}"/>
    <cellStyle name="Millares 72 4" xfId="1943" xr:uid="{12F236F1-162B-4169-857A-2D052EE1F672}"/>
    <cellStyle name="Millares 72 4 2" xfId="4902" xr:uid="{5F38A304-8A57-48AD-8F51-B1A58AD89349}"/>
    <cellStyle name="Millares 72 4 2 2" xfId="12470" xr:uid="{5741EC3E-9604-41D0-BB68-FA4469E33FF2}"/>
    <cellStyle name="Millares 72 4 3" xfId="9550" xr:uid="{43E5B77F-E4AB-47B9-AC89-38E2C9F81C56}"/>
    <cellStyle name="Millares 72 5" xfId="3629" xr:uid="{1CBF5B74-71C8-406F-8310-633666DBE1E1}"/>
    <cellStyle name="Millares 72 5 2" xfId="11197" xr:uid="{B075C94E-DDC0-489D-A57E-BC8A6A0787F7}"/>
    <cellStyle name="Millares 72 6" xfId="8277" xr:uid="{E0E80320-5E86-4454-9AC8-16973D7DDC9A}"/>
    <cellStyle name="Millares 73" xfId="402" xr:uid="{5D3D0CB0-A9EF-49AB-BA3F-81E6C1C3F0AD}"/>
    <cellStyle name="Millares 73 2" xfId="1202" xr:uid="{B744F52E-E6C6-44B9-B223-BD06A9635090}"/>
    <cellStyle name="Millares 73 2 2" xfId="4162" xr:uid="{07643EE0-99C0-4B92-B4D3-DE4DB667BC51}"/>
    <cellStyle name="Millares 73 2 2 2" xfId="11730" xr:uid="{AF0FB26E-0796-4D7F-A571-A01D318E7628}"/>
    <cellStyle name="Millares 73 2 3" xfId="8810" xr:uid="{67364ACF-9CF3-4AFA-BBEF-643B1D57500C}"/>
    <cellStyle name="Millares 73 3" xfId="1566" xr:uid="{3867BB22-7804-4940-AC92-10662654F554}"/>
    <cellStyle name="Millares 73 3 2" xfId="4526" xr:uid="{09E6BD2E-B01A-4CF7-A352-A0EA58BE636F}"/>
    <cellStyle name="Millares 73 3 2 2" xfId="12094" xr:uid="{8F0DAECE-055C-41D2-B732-ACFA5F72859E}"/>
    <cellStyle name="Millares 73 3 3" xfId="9174" xr:uid="{69B23CA3-5F06-4219-A506-B1B47C40EE49}"/>
    <cellStyle name="Millares 73 4" xfId="1945" xr:uid="{67A86FF2-8BD2-4EDF-ABE0-7DB902CE3240}"/>
    <cellStyle name="Millares 73 4 2" xfId="4904" xr:uid="{0DCD327C-1C87-4AD6-8ED7-056C73316CBF}"/>
    <cellStyle name="Millares 73 4 2 2" xfId="12472" xr:uid="{E3755B5E-30C2-46EF-9745-2B1A6E0003C6}"/>
    <cellStyle name="Millares 73 4 3" xfId="9552" xr:uid="{04BB1A9E-1D64-4E25-9243-D7D466BFE8E8}"/>
    <cellStyle name="Millares 73 5" xfId="3631" xr:uid="{820C5B37-4906-4054-8FE9-7722E0CA123D}"/>
    <cellStyle name="Millares 73 5 2" xfId="11199" xr:uid="{9372B168-18B8-437D-BA5E-838E3D218E68}"/>
    <cellStyle name="Millares 73 6" xfId="8279" xr:uid="{30B0736E-0028-4A65-9120-377940A90B95}"/>
    <cellStyle name="Millares 74" xfId="405" xr:uid="{AB76F680-1F00-469F-9788-0C994B497524}"/>
    <cellStyle name="Millares 74 2" xfId="1204" xr:uid="{437A670D-7BCB-4234-8C84-A797B186D57A}"/>
    <cellStyle name="Millares 74 2 2" xfId="4164" xr:uid="{5C5C5EC4-11A3-4417-9E39-2DED68C572CE}"/>
    <cellStyle name="Millares 74 2 2 2" xfId="11732" xr:uid="{3B32C91E-7932-4BAA-AE5C-FC281316CD2C}"/>
    <cellStyle name="Millares 74 2 3" xfId="8812" xr:uid="{B271B03B-1951-43DF-968F-F056A2E75852}"/>
    <cellStyle name="Millares 74 3" xfId="1568" xr:uid="{1CB84010-1D05-48B7-B595-140C212EE4DF}"/>
    <cellStyle name="Millares 74 3 2" xfId="4528" xr:uid="{0FEC165C-02A5-4B0C-B062-ABE9B3C445B6}"/>
    <cellStyle name="Millares 74 3 2 2" xfId="12096" xr:uid="{F5AD6F05-0FBB-4B76-9451-9594BB7D7C86}"/>
    <cellStyle name="Millares 74 3 3" xfId="9176" xr:uid="{B8C9B9AE-F2C9-411A-AA40-53372B7EF84F}"/>
    <cellStyle name="Millares 74 4" xfId="1947" xr:uid="{EC5576CA-A158-44A2-847A-9EE356DA206E}"/>
    <cellStyle name="Millares 74 4 2" xfId="4906" xr:uid="{3AF9661E-AE7A-4A92-8608-020A91C5582B}"/>
    <cellStyle name="Millares 74 4 2 2" xfId="12474" xr:uid="{DA33F6CC-3938-46AB-943E-4D2EC6B7367B}"/>
    <cellStyle name="Millares 74 4 3" xfId="9554" xr:uid="{0C9B4D64-2E62-473E-8DE0-4FDCA843CA87}"/>
    <cellStyle name="Millares 74 5" xfId="3633" xr:uid="{18EFF30A-58C8-4858-A376-29D80BB8AF01}"/>
    <cellStyle name="Millares 74 5 2" xfId="11201" xr:uid="{563D19E3-8ABF-4AF9-83FF-5AAF0F0B70BA}"/>
    <cellStyle name="Millares 74 6" xfId="8281" xr:uid="{DAFA98D0-EC09-45D0-B353-9CA51066BB5A}"/>
    <cellStyle name="Millares 75" xfId="408" xr:uid="{6D8EE5B7-0C89-45BC-BF42-1298294A9EE0}"/>
    <cellStyle name="Millares 75 2" xfId="1206" xr:uid="{931D146C-F0D7-4DC8-96DA-AFF9E8C5F3CC}"/>
    <cellStyle name="Millares 75 2 2" xfId="4166" xr:uid="{52615B36-EF74-49F6-94BC-3AAD373AE37B}"/>
    <cellStyle name="Millares 75 2 2 2" xfId="11734" xr:uid="{34FDE733-CD41-49A0-B825-899E4079BA0E}"/>
    <cellStyle name="Millares 75 2 3" xfId="8814" xr:uid="{960ECBA1-2E33-4714-97CC-6F4BDA96640B}"/>
    <cellStyle name="Millares 75 3" xfId="1570" xr:uid="{11FA8A04-7BC6-4E88-8480-209E5C2755CD}"/>
    <cellStyle name="Millares 75 3 2" xfId="4530" xr:uid="{AF4D68B9-FF43-49A1-8222-34926457FC4B}"/>
    <cellStyle name="Millares 75 3 2 2" xfId="12098" xr:uid="{A2C3C8ED-1F6A-433F-8F09-FC36E55036EF}"/>
    <cellStyle name="Millares 75 3 3" xfId="9178" xr:uid="{A11F9671-C4FB-4888-86F9-F2958F6BE0EB}"/>
    <cellStyle name="Millares 75 4" xfId="1949" xr:uid="{38FC5AAF-6FFE-4C2F-BFBC-77D61425F42D}"/>
    <cellStyle name="Millares 75 4 2" xfId="4908" xr:uid="{67848ACD-03C9-4957-BDF2-E969B9823C3C}"/>
    <cellStyle name="Millares 75 4 2 2" xfId="12476" xr:uid="{ECF9514B-0099-4E08-8F0B-B073C07E4D16}"/>
    <cellStyle name="Millares 75 4 3" xfId="9556" xr:uid="{C19EDB7B-68E0-4987-BA56-9D01597721E6}"/>
    <cellStyle name="Millares 75 5" xfId="3635" xr:uid="{4EB17BE0-1FFE-4B7C-85FC-B50BD9735500}"/>
    <cellStyle name="Millares 75 5 2" xfId="11203" xr:uid="{7A26B66F-759E-468A-BFE8-944DBE5BE099}"/>
    <cellStyle name="Millares 75 6" xfId="8283" xr:uid="{6E7CA6B0-C489-4148-B700-4C0B61D1A65B}"/>
    <cellStyle name="Millares 76" xfId="411" xr:uid="{0992F828-500C-4866-8141-5680E32D18BD}"/>
    <cellStyle name="Millares 76 2" xfId="1208" xr:uid="{6BF4507B-06EA-4357-BD72-553AC6F173AC}"/>
    <cellStyle name="Millares 76 2 2" xfId="4168" xr:uid="{8F0C36F0-0EA6-47B8-A8C8-5F7BEEF49FA5}"/>
    <cellStyle name="Millares 76 2 2 2" xfId="11736" xr:uid="{9A85D6EC-8AC2-4254-B2F8-FEA21623383B}"/>
    <cellStyle name="Millares 76 2 3" xfId="8816" xr:uid="{B61B812C-658C-441C-AAF5-E7F9BD09986D}"/>
    <cellStyle name="Millares 76 3" xfId="1572" xr:uid="{D6473725-946C-4AC2-B121-01157BBA256F}"/>
    <cellStyle name="Millares 76 3 2" xfId="4532" xr:uid="{2AE8C786-0D8B-43D1-B8EB-90437824ABBC}"/>
    <cellStyle name="Millares 76 3 2 2" xfId="12100" xr:uid="{F8582956-A474-441D-9B31-344E6FAAFC51}"/>
    <cellStyle name="Millares 76 3 3" xfId="9180" xr:uid="{45E95E2E-6901-4B18-A50A-D6DF25F35C69}"/>
    <cellStyle name="Millares 76 4" xfId="1951" xr:uid="{719665E6-4691-4D0A-8892-66C9C36CCDF5}"/>
    <cellStyle name="Millares 76 4 2" xfId="4910" xr:uid="{6B652CBF-B16C-4140-95A8-716AAF58723A}"/>
    <cellStyle name="Millares 76 4 2 2" xfId="12478" xr:uid="{F7B6D10F-EC72-4490-8EB0-7DD355D3F030}"/>
    <cellStyle name="Millares 76 4 3" xfId="9558" xr:uid="{D576E654-0218-4A5A-A4B8-3719F517F02F}"/>
    <cellStyle name="Millares 76 5" xfId="3637" xr:uid="{90651334-67B9-4542-BBD6-90A65D7CC8B0}"/>
    <cellStyle name="Millares 76 5 2" xfId="11205" xr:uid="{7787AC1F-CF7D-43FB-914E-E1B7ADCF021D}"/>
    <cellStyle name="Millares 76 6" xfId="8285" xr:uid="{DB3254EF-92D3-42AC-A060-6D9641F12E89}"/>
    <cellStyle name="Millares 77" xfId="414" xr:uid="{5FF66EA4-E004-43CD-848F-8976FB653C19}"/>
    <cellStyle name="Millares 77 2" xfId="1210" xr:uid="{14664EA9-BA76-4217-A0D6-2ADAFFB77832}"/>
    <cellStyle name="Millares 77 2 2" xfId="4170" xr:uid="{041EC965-37AA-434B-9079-8E8BCA3F3D50}"/>
    <cellStyle name="Millares 77 2 2 2" xfId="11738" xr:uid="{39A15BBC-267C-4EFD-AE93-8C41D8AFA199}"/>
    <cellStyle name="Millares 77 2 3" xfId="8818" xr:uid="{CAE36608-5903-4D47-AA41-ECB773146987}"/>
    <cellStyle name="Millares 77 3" xfId="1574" xr:uid="{249D7119-81F0-40F9-9845-DD00ED5E859D}"/>
    <cellStyle name="Millares 77 3 2" xfId="4534" xr:uid="{FB9940FD-355C-44B7-BCB0-310F9138702B}"/>
    <cellStyle name="Millares 77 3 2 2" xfId="12102" xr:uid="{DEDB5DDF-1A53-47B5-8A70-59C14BD442E4}"/>
    <cellStyle name="Millares 77 3 3" xfId="9182" xr:uid="{64C71E5F-ED38-4E98-84BD-40E2CE9AE5C2}"/>
    <cellStyle name="Millares 77 4" xfId="1953" xr:uid="{477A8CB0-AE03-4EB0-8E68-99793C36A9FD}"/>
    <cellStyle name="Millares 77 4 2" xfId="4912" xr:uid="{B7AE8A07-670A-4553-A31C-AF93E7E18B5D}"/>
    <cellStyle name="Millares 77 4 2 2" xfId="12480" xr:uid="{2CFEE8B6-8DB2-43B3-B084-250B309633BE}"/>
    <cellStyle name="Millares 77 4 3" xfId="9560" xr:uid="{67ECA09B-B170-4B18-8D62-0B1F33FFF88C}"/>
    <cellStyle name="Millares 77 5" xfId="3639" xr:uid="{6BF10E83-5CD7-4857-BE64-EB2BCD397719}"/>
    <cellStyle name="Millares 77 5 2" xfId="11207" xr:uid="{7484E801-C8F2-4E23-8F16-1D543126F936}"/>
    <cellStyle name="Millares 77 6" xfId="8287" xr:uid="{06519FCD-045C-4B20-9F28-4B80EA4D6429}"/>
    <cellStyle name="Millares 78" xfId="417" xr:uid="{05D06A9C-0335-426A-A9A1-5089A25D26DB}"/>
    <cellStyle name="Millares 78 2" xfId="1212" xr:uid="{F7E88F62-D896-4928-9E9D-5DD593142C14}"/>
    <cellStyle name="Millares 78 2 2" xfId="4172" xr:uid="{F1E606EB-2D32-4481-A8F4-45DA3FCADB4D}"/>
    <cellStyle name="Millares 78 2 2 2" xfId="11740" xr:uid="{ED807AC6-ACB8-4160-A680-F6E456EDCADB}"/>
    <cellStyle name="Millares 78 2 3" xfId="8820" xr:uid="{B30B08D2-2D76-4028-81A8-9D1057C9FC42}"/>
    <cellStyle name="Millares 78 3" xfId="1576" xr:uid="{E6A60916-D018-48BB-85D3-B0B0390B57DF}"/>
    <cellStyle name="Millares 78 3 2" xfId="4536" xr:uid="{5A304071-3631-4ABE-96AB-CC0378EE47AB}"/>
    <cellStyle name="Millares 78 3 2 2" xfId="12104" xr:uid="{D4CE29E9-7F94-4AA7-B1D1-4B1C714C618D}"/>
    <cellStyle name="Millares 78 3 3" xfId="9184" xr:uid="{4FFF3FFB-A317-4729-8C8C-1CAC49435BC1}"/>
    <cellStyle name="Millares 78 4" xfId="1955" xr:uid="{4A823EE5-A20F-40CA-81EE-188E9F378F53}"/>
    <cellStyle name="Millares 78 4 2" xfId="4914" xr:uid="{DA162675-CA32-43B9-B98B-2A060251FBCC}"/>
    <cellStyle name="Millares 78 4 2 2" xfId="12482" xr:uid="{3104DC4F-E0F7-4402-BC88-B6C8BF9AECB8}"/>
    <cellStyle name="Millares 78 4 3" xfId="9562" xr:uid="{02E48C5C-EF30-4C61-8230-683FB2ADC5F8}"/>
    <cellStyle name="Millares 78 5" xfId="3641" xr:uid="{59493839-90A3-4A2E-9028-244347DB6198}"/>
    <cellStyle name="Millares 78 5 2" xfId="11209" xr:uid="{5565D4B5-4FD5-4791-8D9C-22CFF7834EAB}"/>
    <cellStyle name="Millares 78 6" xfId="8289" xr:uid="{780E2AB5-C3E0-40BF-B7CC-5261961186B1}"/>
    <cellStyle name="Millares 79" xfId="420" xr:uid="{4D6AEA8F-19A9-499C-A265-BC827B451D87}"/>
    <cellStyle name="Millares 79 2" xfId="1214" xr:uid="{105E4B31-7041-4CAB-B9EB-133C5C9020CC}"/>
    <cellStyle name="Millares 79 2 2" xfId="4174" xr:uid="{DFFB2236-E486-4490-B8A0-D69ABE3A230B}"/>
    <cellStyle name="Millares 79 2 2 2" xfId="11742" xr:uid="{27D35126-7976-46FE-B906-230DD9F36F42}"/>
    <cellStyle name="Millares 79 2 3" xfId="8822" xr:uid="{84C934FF-FB26-4853-BE50-1DADF901954D}"/>
    <cellStyle name="Millares 79 3" xfId="1578" xr:uid="{4EBAFB04-C6B7-4C82-A349-6A656E7851F6}"/>
    <cellStyle name="Millares 79 3 2" xfId="4538" xr:uid="{0E47AA21-D323-4186-A036-78CFE4067B48}"/>
    <cellStyle name="Millares 79 3 2 2" xfId="12106" xr:uid="{9246E01A-B57F-49CE-AFBA-43362492EFB5}"/>
    <cellStyle name="Millares 79 3 3" xfId="9186" xr:uid="{848F1FA3-71B8-49C6-9B1D-6FF3E1AD2FED}"/>
    <cellStyle name="Millares 79 4" xfId="1957" xr:uid="{C8D76EB4-B275-4CDF-9ADF-AFC4087E3948}"/>
    <cellStyle name="Millares 79 4 2" xfId="4916" xr:uid="{D0E8FA63-D0FA-4C0E-8C93-36979EAE477C}"/>
    <cellStyle name="Millares 79 4 2 2" xfId="12484" xr:uid="{1219CB80-8960-4C1E-96E4-2F2503B76935}"/>
    <cellStyle name="Millares 79 4 3" xfId="9564" xr:uid="{91392A37-00BD-451E-8122-091A18552A4F}"/>
    <cellStyle name="Millares 79 5" xfId="3643" xr:uid="{6F5E6915-4EEF-4D14-8CEA-610904345E41}"/>
    <cellStyle name="Millares 79 5 2" xfId="11211" xr:uid="{E933A7E4-63B6-4D47-B0D8-10B3B30580EE}"/>
    <cellStyle name="Millares 79 6" xfId="8291" xr:uid="{8661A1A5-BA70-489C-B655-75269B59D15D}"/>
    <cellStyle name="Millares 8" xfId="169" xr:uid="{018D8506-D235-4D8F-ABC8-2D3898924BEF}"/>
    <cellStyle name="Millares 8 10" xfId="8126" xr:uid="{462D3AD9-9481-4DB3-A498-F8E12132CD16}"/>
    <cellStyle name="Millares 8 2" xfId="210" xr:uid="{4534B7B4-DE01-4F05-8E74-939F5B06A69F}"/>
    <cellStyle name="Millares 8 2 2" xfId="3504" xr:uid="{09613E0A-893A-466B-B96C-A668EFF8DEC8}"/>
    <cellStyle name="Millares 8 2 2 2" xfId="11072" xr:uid="{D6118A4D-F834-4042-8D82-F887AA52C6CB}"/>
    <cellStyle name="Millares 8 2 3" xfId="8152" xr:uid="{73BFE8DC-2A51-40A0-92A5-6EF04DC37DDA}"/>
    <cellStyle name="Millares 8 3" xfId="1072" xr:uid="{BD1A1B52-8763-41EF-9DE7-1115B477249A}"/>
    <cellStyle name="Millares 8 3 2" xfId="4032" xr:uid="{2CFFC58A-5E56-421D-AF12-2C7E95F301DE}"/>
    <cellStyle name="Millares 8 3 2 2" xfId="11600" xr:uid="{6CB24281-7E6C-4F67-9305-B981C72196FD}"/>
    <cellStyle name="Millares 8 3 3" xfId="8680" xr:uid="{D5569598-887A-48C6-92ED-DAFC7E5691A4}"/>
    <cellStyle name="Millares 8 4" xfId="1436" xr:uid="{94B22CD8-5546-46EF-9B4B-A05EF7D4300B}"/>
    <cellStyle name="Millares 8 4 2" xfId="4396" xr:uid="{0ED5FE27-3DB3-4D8E-944F-327A1E35DBDD}"/>
    <cellStyle name="Millares 8 4 2 2" xfId="11964" xr:uid="{5C85D116-32E7-4BCD-87AD-E72022F14977}"/>
    <cellStyle name="Millares 8 4 3" xfId="9044" xr:uid="{DD0D9A14-0E3F-42B9-914A-6A3C29BC7578}"/>
    <cellStyle name="Millares 8 5" xfId="1815" xr:uid="{D0E37B7F-BD93-438D-AD4D-15F11309BF5F}"/>
    <cellStyle name="Millares 8 5 2" xfId="4774" xr:uid="{87C73082-B46A-4965-B62C-B8485078E584}"/>
    <cellStyle name="Millares 8 5 2 2" xfId="12342" xr:uid="{BA1570DC-1F1A-43D5-8E21-9B583BCED28B}"/>
    <cellStyle name="Millares 8 5 3" xfId="9422" xr:uid="{A6FB4EBD-E52D-41A7-8F84-D399963CC936}"/>
    <cellStyle name="Millares 8 6" xfId="2474" xr:uid="{68CD7668-09C7-4ED1-9D13-9C932AB422DB}"/>
    <cellStyle name="Millares 8 6 2" xfId="10058" xr:uid="{6B584351-1336-47B8-B700-B6947B2B6D4A}"/>
    <cellStyle name="Millares 8 7" xfId="3478" xr:uid="{85AD457F-A145-4DAD-BBDE-4520A492B685}"/>
    <cellStyle name="Millares 8 7 2" xfId="11046" xr:uid="{67FAC943-E309-4197-9911-6EEF26DB03FC}"/>
    <cellStyle name="Millares 8 8" xfId="5480" xr:uid="{A3CC816B-653F-4184-9257-37AC3177E3A6}"/>
    <cellStyle name="Millares 8 8 2" xfId="13041" xr:uid="{23C8A212-7DE1-4A13-84C7-20EAD264B533}"/>
    <cellStyle name="Millares 8 9" xfId="6884" xr:uid="{5373C34B-0A68-48E3-92EE-51BCA1A0EA8A}"/>
    <cellStyle name="Millares 8 9 2" xfId="14413" xr:uid="{59C97D1D-03F9-4A4B-8734-54ABC3828B42}"/>
    <cellStyle name="Millares 80" xfId="423" xr:uid="{01E85D67-29C2-4448-A2DC-E516FF8B5317}"/>
    <cellStyle name="Millares 80 2" xfId="1216" xr:uid="{CFBCB75E-904F-4F55-89CB-2CE3B22F5867}"/>
    <cellStyle name="Millares 80 2 2" xfId="4176" xr:uid="{1F522D55-2D81-4924-BFE3-6B1A66041EF5}"/>
    <cellStyle name="Millares 80 2 2 2" xfId="11744" xr:uid="{E1070D41-3C34-4A69-83D7-E8D9D6D61874}"/>
    <cellStyle name="Millares 80 2 3" xfId="8824" xr:uid="{38932830-EFC0-4C39-B070-D83DBCAA6C93}"/>
    <cellStyle name="Millares 80 3" xfId="1580" xr:uid="{42B6BF46-F7CE-4926-8246-6561355407DC}"/>
    <cellStyle name="Millares 80 3 2" xfId="4540" xr:uid="{F474AB43-47EE-4B9B-AEFB-A4AD879E9B5C}"/>
    <cellStyle name="Millares 80 3 2 2" xfId="12108" xr:uid="{F6DE807E-D295-4434-A1E1-F8C1882EC44A}"/>
    <cellStyle name="Millares 80 3 3" xfId="9188" xr:uid="{C0A809F8-D405-442D-92AC-389B9FBD7DB2}"/>
    <cellStyle name="Millares 80 4" xfId="1959" xr:uid="{80EA9A86-1C37-4A62-8FD6-99B45582CCAF}"/>
    <cellStyle name="Millares 80 4 2" xfId="4918" xr:uid="{9A58F147-C345-42D8-9C37-9729B47FEFD6}"/>
    <cellStyle name="Millares 80 4 2 2" xfId="12486" xr:uid="{7C127ED6-85AD-41B6-8145-7896E8697779}"/>
    <cellStyle name="Millares 80 4 3" xfId="9566" xr:uid="{192441EB-BA96-4C56-9F73-CCCEB7B403C3}"/>
    <cellStyle name="Millares 80 5" xfId="3645" xr:uid="{D43EC510-7167-40B4-B4A4-A26264245C1D}"/>
    <cellStyle name="Millares 80 5 2" xfId="11213" xr:uid="{3F4A1E23-91B8-403A-9F4E-BC3FAB68AECC}"/>
    <cellStyle name="Millares 80 6" xfId="8293" xr:uid="{A0A10B9F-3D63-47AD-86A5-D80CD3AC99D0}"/>
    <cellStyle name="Millares 81" xfId="426" xr:uid="{A1D806A6-8E86-45E7-BEBD-3F4147E5220F}"/>
    <cellStyle name="Millares 81 2" xfId="1218" xr:uid="{C69D202D-E72D-43F0-B3DB-D07F556A907D}"/>
    <cellStyle name="Millares 81 2 2" xfId="4178" xr:uid="{D0FD79E1-18B4-40F4-9375-AB4599E0DE8A}"/>
    <cellStyle name="Millares 81 2 2 2" xfId="11746" xr:uid="{1E232133-4483-4920-9398-B053E75CBCDD}"/>
    <cellStyle name="Millares 81 2 3" xfId="8826" xr:uid="{438B07E1-D1F8-4403-9EF6-016AC3D450AF}"/>
    <cellStyle name="Millares 81 3" xfId="1582" xr:uid="{871B55A5-2E91-406B-B696-8D1CD33A4C7D}"/>
    <cellStyle name="Millares 81 3 2" xfId="4542" xr:uid="{A8835B63-D73E-438A-8082-23AA6D1295A4}"/>
    <cellStyle name="Millares 81 3 2 2" xfId="12110" xr:uid="{3560CAE8-7086-47B6-BF6A-8396EF7D17D4}"/>
    <cellStyle name="Millares 81 3 3" xfId="9190" xr:uid="{E89D32A8-0E95-48D7-8F9A-94AAB9F5F0B0}"/>
    <cellStyle name="Millares 81 4" xfId="1961" xr:uid="{946CD408-9EBF-4D1E-807C-40BDAFEFA3DC}"/>
    <cellStyle name="Millares 81 4 2" xfId="4920" xr:uid="{EC88C07D-67FD-4F68-898B-150E37927A89}"/>
    <cellStyle name="Millares 81 4 2 2" xfId="12488" xr:uid="{8B7F53C6-C139-409F-9E8B-DF29AA58A921}"/>
    <cellStyle name="Millares 81 4 3" xfId="9568" xr:uid="{12DCD24B-F6F8-474A-AE48-B083F192CBA0}"/>
    <cellStyle name="Millares 81 5" xfId="3647" xr:uid="{755E5943-6C0C-4DEF-9876-7343FB0B22BF}"/>
    <cellStyle name="Millares 81 5 2" xfId="11215" xr:uid="{5DFA600E-11E4-4E8A-B533-960C6E9AEA6C}"/>
    <cellStyle name="Millares 81 6" xfId="8295" xr:uid="{64385CA6-06EF-4972-8AF1-F73685655F2E}"/>
    <cellStyle name="Millares 82" xfId="429" xr:uid="{DA36ADE9-1FF7-4E78-9E1E-F6589C1837C8}"/>
    <cellStyle name="Millares 82 2" xfId="1220" xr:uid="{B086D547-9586-425D-AD0F-CE9CE9C88C4F}"/>
    <cellStyle name="Millares 82 2 2" xfId="4180" xr:uid="{235E88FD-619C-4F0A-A7E8-869BB9F9F749}"/>
    <cellStyle name="Millares 82 2 2 2" xfId="11748" xr:uid="{50B608AA-D20E-4B12-87D5-FB7EF899CD44}"/>
    <cellStyle name="Millares 82 2 3" xfId="8828" xr:uid="{06F80B76-8F48-49BA-B6A3-C2223B3A91A5}"/>
    <cellStyle name="Millares 82 3" xfId="1584" xr:uid="{A8C1CE82-720F-4777-90B2-5142869678DA}"/>
    <cellStyle name="Millares 82 3 2" xfId="4544" xr:uid="{7893F949-BC07-45D5-A41C-C745781F4BDD}"/>
    <cellStyle name="Millares 82 3 2 2" xfId="12112" xr:uid="{78C83964-FF5E-4BFB-8A65-7E9B8D4049C3}"/>
    <cellStyle name="Millares 82 3 3" xfId="9192" xr:uid="{B9913D44-6E25-4DE3-A35B-F8E3848F0057}"/>
    <cellStyle name="Millares 82 4" xfId="1963" xr:uid="{D555F88B-6890-499D-8D26-2C9A83B694DF}"/>
    <cellStyle name="Millares 82 4 2" xfId="4922" xr:uid="{D1E64CF6-ED6C-48F7-B64F-40A9ACDAE115}"/>
    <cellStyle name="Millares 82 4 2 2" xfId="12490" xr:uid="{25B99C66-F902-4122-BB84-4B5766619792}"/>
    <cellStyle name="Millares 82 4 3" xfId="9570" xr:uid="{72582E66-6939-4F9D-BB0E-C0180C5840B7}"/>
    <cellStyle name="Millares 82 5" xfId="3649" xr:uid="{A338B7C4-ED8B-4255-B16E-99263ACBBEF5}"/>
    <cellStyle name="Millares 82 5 2" xfId="11217" xr:uid="{CAAF76F4-FDA7-4778-BB21-4551C74EB2AC}"/>
    <cellStyle name="Millares 82 6" xfId="8297" xr:uid="{6D9DCCC2-6A26-4B92-BA74-A48051AF04A2}"/>
    <cellStyle name="Millares 83" xfId="432" xr:uid="{FF155B7B-84D1-4634-B11C-E52224F549CF}"/>
    <cellStyle name="Millares 83 2" xfId="1222" xr:uid="{5184DF9F-A20E-40E2-8B55-F55CF38CA451}"/>
    <cellStyle name="Millares 83 2 2" xfId="4182" xr:uid="{170DCA98-AF4F-4027-84D8-7B38ED0C7712}"/>
    <cellStyle name="Millares 83 2 2 2" xfId="11750" xr:uid="{55B13865-5117-4EC0-84C8-044D95F8DAE4}"/>
    <cellStyle name="Millares 83 2 3" xfId="8830" xr:uid="{5146B5B9-0CF8-4B1C-9E99-535048891894}"/>
    <cellStyle name="Millares 83 3" xfId="1586" xr:uid="{6F5814AF-58DE-4A90-8955-BB9D08C417C5}"/>
    <cellStyle name="Millares 83 3 2" xfId="4546" xr:uid="{054B1622-6443-464E-A2FA-C65FC16DCABF}"/>
    <cellStyle name="Millares 83 3 2 2" xfId="12114" xr:uid="{57B0C428-C962-4050-A033-DEC847869572}"/>
    <cellStyle name="Millares 83 3 3" xfId="9194" xr:uid="{FE223F0F-5C7D-4F6A-8CB1-EC54575F23E0}"/>
    <cellStyle name="Millares 83 4" xfId="1965" xr:uid="{61B83151-017B-4FD2-9404-E0759564CBDE}"/>
    <cellStyle name="Millares 83 4 2" xfId="4924" xr:uid="{E8615FDA-F5BF-445D-916B-4C79F1D2D839}"/>
    <cellStyle name="Millares 83 4 2 2" xfId="12492" xr:uid="{28320AC7-D646-4CA4-AFBF-47B445D088D3}"/>
    <cellStyle name="Millares 83 4 3" xfId="9572" xr:uid="{09E90BFD-3FF0-408B-8FEB-FFDD10CCFF68}"/>
    <cellStyle name="Millares 83 5" xfId="3651" xr:uid="{20F8AF2D-CE38-4B2B-B5D8-C44BFAA7EFBC}"/>
    <cellStyle name="Millares 83 5 2" xfId="11219" xr:uid="{B9BCC1C2-A3ED-4827-97F4-BBADB0E75D55}"/>
    <cellStyle name="Millares 83 6" xfId="8299" xr:uid="{957149D9-A58A-4FA3-84E0-3C44569E8CAE}"/>
    <cellStyle name="Millares 84" xfId="435" xr:uid="{4230E4CA-5609-4C3B-BCC2-05CBEA0FF49C}"/>
    <cellStyle name="Millares 84 2" xfId="1224" xr:uid="{B5DB62FD-CAB6-400B-B1D2-22C0F5EADD3E}"/>
    <cellStyle name="Millares 84 2 2" xfId="4184" xr:uid="{74A76FF5-6CFD-40FE-B419-0AA26D96C701}"/>
    <cellStyle name="Millares 84 2 2 2" xfId="11752" xr:uid="{C031A10E-DCDE-44F0-9600-4952F780D9F3}"/>
    <cellStyle name="Millares 84 2 3" xfId="8832" xr:uid="{021448D0-D7B9-4B95-BB12-880E86F70016}"/>
    <cellStyle name="Millares 84 3" xfId="1588" xr:uid="{6AC2E759-E0BB-49D9-BB82-2E592D810366}"/>
    <cellStyle name="Millares 84 3 2" xfId="4548" xr:uid="{5E42DD18-B587-44CD-A000-0C04E75DE962}"/>
    <cellStyle name="Millares 84 3 2 2" xfId="12116" xr:uid="{C2A31B60-63B2-4DF0-800E-36527ED95B6D}"/>
    <cellStyle name="Millares 84 3 3" xfId="9196" xr:uid="{E1FC13CE-5B98-4B61-9682-D1D553B08E49}"/>
    <cellStyle name="Millares 84 4" xfId="1967" xr:uid="{1FDDF82B-7629-4FF2-A56E-ED4EFB863F37}"/>
    <cellStyle name="Millares 84 4 2" xfId="4926" xr:uid="{719642F7-E5FB-4DCA-B0EB-DDDE676D2BDD}"/>
    <cellStyle name="Millares 84 4 2 2" xfId="12494" xr:uid="{127A56BF-4787-42A6-BFA2-BBBA41EB76A3}"/>
    <cellStyle name="Millares 84 4 3" xfId="9574" xr:uid="{BA41D041-D0D1-4C51-8DF8-1260029647B1}"/>
    <cellStyle name="Millares 84 5" xfId="3653" xr:uid="{357513EB-DF2D-478B-81B9-6372F36F95F5}"/>
    <cellStyle name="Millares 84 5 2" xfId="11221" xr:uid="{A786E4C0-CA4F-4A00-9EE2-09FA3EF13CE6}"/>
    <cellStyle name="Millares 84 6" xfId="8301" xr:uid="{854457E5-D54D-45DA-B02F-A25E8A25C529}"/>
    <cellStyle name="Millares 85" xfId="438" xr:uid="{F7B6683A-A0DC-471B-A9D9-9CA8671112E7}"/>
    <cellStyle name="Millares 85 2" xfId="1226" xr:uid="{758E3F11-46C1-49F3-862C-983724D0B1E5}"/>
    <cellStyle name="Millares 85 2 2" xfId="4186" xr:uid="{AE89A327-1C98-4222-B4BE-C7832025818B}"/>
    <cellStyle name="Millares 85 2 2 2" xfId="11754" xr:uid="{20E750DD-FC7C-4113-ABE9-CDB0CFD16FBB}"/>
    <cellStyle name="Millares 85 2 3" xfId="8834" xr:uid="{CE9D8994-4754-4E4D-925A-2F6B1A155D71}"/>
    <cellStyle name="Millares 85 3" xfId="1590" xr:uid="{75AE759B-17D7-436E-A77D-6477013AA6EE}"/>
    <cellStyle name="Millares 85 3 2" xfId="4550" xr:uid="{AF8EE083-11F5-4CE4-82D8-A0A453AB0E02}"/>
    <cellStyle name="Millares 85 3 2 2" xfId="12118" xr:uid="{AE4E897D-3280-40C6-8758-3347E351E849}"/>
    <cellStyle name="Millares 85 3 3" xfId="9198" xr:uid="{6A4C61F6-855E-4FBB-A6AC-B39A40433224}"/>
    <cellStyle name="Millares 85 4" xfId="1969" xr:uid="{ADAEC414-18F7-4997-A0CE-4599E1F2788F}"/>
    <cellStyle name="Millares 85 4 2" xfId="4928" xr:uid="{E97812DA-7594-48B1-9188-95345A57958C}"/>
    <cellStyle name="Millares 85 4 2 2" xfId="12496" xr:uid="{AC844983-84D4-4ABB-A8EA-2CC172A3AE87}"/>
    <cellStyle name="Millares 85 4 3" xfId="9576" xr:uid="{B51F403A-6110-42E1-B9B2-0BDBADD04439}"/>
    <cellStyle name="Millares 85 5" xfId="3655" xr:uid="{C8848A26-F2E3-4DC7-8CB3-120735719F4F}"/>
    <cellStyle name="Millares 85 5 2" xfId="11223" xr:uid="{7FB6FD03-1B80-4CA9-BFF4-39171251B897}"/>
    <cellStyle name="Millares 85 6" xfId="8303" xr:uid="{9CC25F01-4D7F-4A51-91B4-C5F4E88C73C5}"/>
    <cellStyle name="Millares 86" xfId="441" xr:uid="{141BE55E-5714-4D8D-8F3C-1107FBFE208A}"/>
    <cellStyle name="Millares 86 2" xfId="1228" xr:uid="{193D0AEB-AC9C-4505-B649-790227D15B3F}"/>
    <cellStyle name="Millares 86 2 2" xfId="4188" xr:uid="{647813AF-50E4-4D41-AC8D-A3E052FB1B02}"/>
    <cellStyle name="Millares 86 2 2 2" xfId="11756" xr:uid="{4007B55D-6F7F-4AA8-AFAF-BD7D6A995340}"/>
    <cellStyle name="Millares 86 2 3" xfId="8836" xr:uid="{0B0D54F3-501A-4AF1-B071-C7F013D0B5E8}"/>
    <cellStyle name="Millares 86 3" xfId="1592" xr:uid="{1544CB98-F830-411B-90C5-BC334863BA7F}"/>
    <cellStyle name="Millares 86 3 2" xfId="4552" xr:uid="{EBEECC38-1786-497C-9BC4-8E5D7A1CE5B0}"/>
    <cellStyle name="Millares 86 3 2 2" xfId="12120" xr:uid="{D1AD5673-9F9C-40EA-A1E4-72F3DCDE3F6F}"/>
    <cellStyle name="Millares 86 3 3" xfId="9200" xr:uid="{65CA899F-D063-4782-B13F-7E1AFE5A63BF}"/>
    <cellStyle name="Millares 86 4" xfId="1971" xr:uid="{8D2EAF57-E3EC-49C6-ADDB-BCEB5402187F}"/>
    <cellStyle name="Millares 86 4 2" xfId="4930" xr:uid="{E69E7DD2-EDF6-4818-976A-4B3F1361122C}"/>
    <cellStyle name="Millares 86 4 2 2" xfId="12498" xr:uid="{BFD1F48B-2573-4D1A-8979-3FA3FDCF76E6}"/>
    <cellStyle name="Millares 86 4 3" xfId="9578" xr:uid="{9D916AEA-77DA-4674-9222-E482AE6B99CC}"/>
    <cellStyle name="Millares 86 5" xfId="3657" xr:uid="{F86E586C-05C2-49B4-863B-1F69BB333FE6}"/>
    <cellStyle name="Millares 86 5 2" xfId="11225" xr:uid="{E6BBFFBC-725F-4339-9024-FFB7C07EA8EC}"/>
    <cellStyle name="Millares 86 6" xfId="8305" xr:uid="{655702CE-4145-4281-8A76-6B6717A88D23}"/>
    <cellStyle name="Millares 87" xfId="444" xr:uid="{21511A26-9D2F-4819-9200-BC51290FF6C5}"/>
    <cellStyle name="Millares 87 2" xfId="1230" xr:uid="{031EAB37-2DB7-4812-9544-C4749F5B25B5}"/>
    <cellStyle name="Millares 87 2 2" xfId="4190" xr:uid="{18270664-2257-4930-B18E-DCE415F593AE}"/>
    <cellStyle name="Millares 87 2 2 2" xfId="11758" xr:uid="{4AE00073-90FF-4605-9202-A7D99901B102}"/>
    <cellStyle name="Millares 87 2 3" xfId="8838" xr:uid="{20CCFEFE-19F0-41B2-B8C3-D24FAD8A46CB}"/>
    <cellStyle name="Millares 87 3" xfId="1594" xr:uid="{4646911B-7F84-481E-8BF6-7A0F33B2A0DD}"/>
    <cellStyle name="Millares 87 3 2" xfId="4554" xr:uid="{F32B16E5-B172-4459-972F-6FD91B935E2F}"/>
    <cellStyle name="Millares 87 3 2 2" xfId="12122" xr:uid="{6533702B-4430-40E5-9690-0B56285C2555}"/>
    <cellStyle name="Millares 87 3 3" xfId="9202" xr:uid="{538FAE1A-AEE5-4B4D-9641-E7CD5C1ED15F}"/>
    <cellStyle name="Millares 87 4" xfId="1973" xr:uid="{AA306149-9F4C-4769-90A8-282BC2332F81}"/>
    <cellStyle name="Millares 87 4 2" xfId="4932" xr:uid="{DECE2418-06D3-443A-AB52-9CB8F19A2CAE}"/>
    <cellStyle name="Millares 87 4 2 2" xfId="12500" xr:uid="{42D746BA-E954-446C-AFAC-BAA01EB973C6}"/>
    <cellStyle name="Millares 87 4 3" xfId="9580" xr:uid="{79103065-D21A-4D42-AD17-653E5399626D}"/>
    <cellStyle name="Millares 87 5" xfId="3659" xr:uid="{2E1CD118-46D3-481A-8C04-BBE37C9AC9B0}"/>
    <cellStyle name="Millares 87 5 2" xfId="11227" xr:uid="{0FD22B5A-472F-4DBF-BB9F-A5C2512C9397}"/>
    <cellStyle name="Millares 87 6" xfId="8307" xr:uid="{4DD90E7C-2FB5-4783-84C8-FF471C64A9BB}"/>
    <cellStyle name="Millares 88" xfId="447" xr:uid="{0BC3DCDA-DC08-4C9F-B9DC-9001679E2474}"/>
    <cellStyle name="Millares 88 2" xfId="1232" xr:uid="{E7BF83E4-9DEA-4EB8-B69E-4A3F2002D42D}"/>
    <cellStyle name="Millares 88 2 2" xfId="4192" xr:uid="{B4BAEDE2-CEA1-42A8-A8AE-2EEA2C9E94BF}"/>
    <cellStyle name="Millares 88 2 2 2" xfId="11760" xr:uid="{796FFCF4-805F-48E6-90D2-58EC6AAA369D}"/>
    <cellStyle name="Millares 88 2 3" xfId="8840" xr:uid="{233C1948-25DB-45DF-A7FD-686C6AF15A4E}"/>
    <cellStyle name="Millares 88 3" xfId="1596" xr:uid="{1C3DC432-4C0C-4705-8534-D53CEECB799D}"/>
    <cellStyle name="Millares 88 3 2" xfId="4556" xr:uid="{D6BDD8B9-D99B-4C59-980C-766EAA0F58F6}"/>
    <cellStyle name="Millares 88 3 2 2" xfId="12124" xr:uid="{F0F5577D-42F1-4478-86B4-5FCD8F7CA598}"/>
    <cellStyle name="Millares 88 3 3" xfId="9204" xr:uid="{C1AE505E-A138-4352-B786-DDB75F919615}"/>
    <cellStyle name="Millares 88 4" xfId="1975" xr:uid="{EDA44CF8-62A8-4A1F-ACED-2091E75E0453}"/>
    <cellStyle name="Millares 88 4 2" xfId="4934" xr:uid="{4CC7368F-3E6B-4030-B465-4188AB506932}"/>
    <cellStyle name="Millares 88 4 2 2" xfId="12502" xr:uid="{755C364C-078E-4AD6-B48E-4A4431810204}"/>
    <cellStyle name="Millares 88 4 3" xfId="9582" xr:uid="{D5687A27-B5E8-412D-B57D-F059893DF1C8}"/>
    <cellStyle name="Millares 88 5" xfId="3661" xr:uid="{CAECC5B6-8221-45F0-8B4B-7695DB4C11EC}"/>
    <cellStyle name="Millares 88 5 2" xfId="11229" xr:uid="{3AA2BAFC-02BF-40AB-BF36-1643865C17BD}"/>
    <cellStyle name="Millares 88 6" xfId="8309" xr:uid="{C5D0C6FF-C5A7-4601-A6C0-51651F2E5ADF}"/>
    <cellStyle name="Millares 89" xfId="450" xr:uid="{55F33D53-9781-4469-802A-8F47730C6989}"/>
    <cellStyle name="Millares 89 2" xfId="1234" xr:uid="{AF90C634-23D7-4EE5-BEB5-EEFB22F5AFB0}"/>
    <cellStyle name="Millares 89 2 2" xfId="4194" xr:uid="{EF626B3B-A677-40D0-B85F-07A7AE8511B3}"/>
    <cellStyle name="Millares 89 2 2 2" xfId="11762" xr:uid="{B9651824-E068-4765-A780-46762BF64109}"/>
    <cellStyle name="Millares 89 2 3" xfId="8842" xr:uid="{7026CABE-EC09-4E78-AA4A-788657737008}"/>
    <cellStyle name="Millares 89 3" xfId="1598" xr:uid="{74DE4620-8EDA-4715-9420-8F4B59738621}"/>
    <cellStyle name="Millares 89 3 2" xfId="4558" xr:uid="{6EB6CAE5-CBB1-4B27-BE2F-3B01F8C3ED7D}"/>
    <cellStyle name="Millares 89 3 2 2" xfId="12126" xr:uid="{C94266B7-E1B8-4CFC-8E69-D7955B785320}"/>
    <cellStyle name="Millares 89 3 3" xfId="9206" xr:uid="{A87B34E9-C52E-4950-956C-C7C056843153}"/>
    <cellStyle name="Millares 89 4" xfId="1977" xr:uid="{D33F6353-23FA-467F-96BD-11764E1A36AD}"/>
    <cellStyle name="Millares 89 4 2" xfId="4936" xr:uid="{AA0C48E8-758E-48B9-8C7B-823B451DC98E}"/>
    <cellStyle name="Millares 89 4 2 2" xfId="12504" xr:uid="{68A9E68D-2A88-44CF-8798-17AB8119DA78}"/>
    <cellStyle name="Millares 89 4 3" xfId="9584" xr:uid="{291C5002-7981-4FCA-8CDB-92DF0E41CE24}"/>
    <cellStyle name="Millares 89 5" xfId="3663" xr:uid="{7B6F402B-46ED-497E-B875-1083F05B61BA}"/>
    <cellStyle name="Millares 89 5 2" xfId="11231" xr:uid="{8C1317C1-AE9C-4AB4-A2CB-E382B1AEC7BD}"/>
    <cellStyle name="Millares 89 6" xfId="8311" xr:uid="{88283435-F9E3-4F62-A5FC-FA2017197F41}"/>
    <cellStyle name="Millares 9" xfId="170" xr:uid="{5F585AB8-096E-4C53-819A-F37C17B2B4CD}"/>
    <cellStyle name="Millares 9 2" xfId="212" xr:uid="{D43223EB-CBEA-44BA-B216-2E5C88EC2F66}"/>
    <cellStyle name="Millares 9 2 2" xfId="3505" xr:uid="{AECADB1B-BD24-4F7F-9B1B-8A99CE4A0AEA}"/>
    <cellStyle name="Millares 9 2 2 2" xfId="11073" xr:uid="{1380B718-D14F-458C-88DF-B866F2DD093F}"/>
    <cellStyle name="Millares 9 2 3" xfId="8153" xr:uid="{1A8ABE7D-2F89-4B8C-8947-42DCC7CE888B}"/>
    <cellStyle name="Millares 9 3" xfId="1074" xr:uid="{F80CCE15-C067-4F09-B435-E296984165AB}"/>
    <cellStyle name="Millares 9 3 2" xfId="4034" xr:uid="{27E47E6D-1071-4B06-8076-F10EA59500E2}"/>
    <cellStyle name="Millares 9 3 2 2" xfId="11602" xr:uid="{1F3363FB-FBE3-48B9-91A7-58E9F8D8558D}"/>
    <cellStyle name="Millares 9 3 3" xfId="8682" xr:uid="{9BD7C08D-1E4E-4BDF-98D4-8CB05D925693}"/>
    <cellStyle name="Millares 9 4" xfId="1438" xr:uid="{F6DD1EB9-20D7-4002-A68B-D44B3907BEEA}"/>
    <cellStyle name="Millares 9 4 2" xfId="4398" xr:uid="{B8ECA295-EF48-45E4-959B-C8AB9AB0BAA5}"/>
    <cellStyle name="Millares 9 4 2 2" xfId="11966" xr:uid="{0DA55F7F-5C1A-4F56-B7D1-48A08050CF48}"/>
    <cellStyle name="Millares 9 4 3" xfId="9046" xr:uid="{17C0E45A-517B-4C1E-AB9C-0D4BE2EBE5CB}"/>
    <cellStyle name="Millares 9 5" xfId="1817" xr:uid="{4DA6AE5A-5957-4903-B99E-1D911A4106DC}"/>
    <cellStyle name="Millares 9 5 2" xfId="4776" xr:uid="{FADB53EA-4A2C-4AEC-8F81-3C5DB6AFA69B}"/>
    <cellStyle name="Millares 9 5 2 2" xfId="12344" xr:uid="{260117D0-7E31-427C-AC0A-81AB43B2143E}"/>
    <cellStyle name="Millares 9 5 3" xfId="9424" xr:uid="{928FFC50-AF44-47BD-A6E3-951E6505D5D8}"/>
    <cellStyle name="Millares 9 6" xfId="3479" xr:uid="{2226A1FA-1AE6-4487-A240-EC90A2428117}"/>
    <cellStyle name="Millares 9 6 2" xfId="11047" xr:uid="{4F4CE21A-3261-4B4C-9829-DF46D8A39124}"/>
    <cellStyle name="Millares 9 7" xfId="8127" xr:uid="{11D2770C-E25B-4054-92E8-61283499C264}"/>
    <cellStyle name="Millares 90" xfId="453" xr:uid="{07C5C5D3-1360-4E24-A7DB-7EFA6DB688F9}"/>
    <cellStyle name="Millares 90 2" xfId="1236" xr:uid="{D45C159D-3313-4C9F-A791-9FBC70532107}"/>
    <cellStyle name="Millares 90 2 2" xfId="4196" xr:uid="{AE02C6C0-1A8F-4647-96DA-54337863AAC5}"/>
    <cellStyle name="Millares 90 2 2 2" xfId="11764" xr:uid="{C8D15105-2180-4FB6-8E3C-6CC4E9AA4A87}"/>
    <cellStyle name="Millares 90 2 3" xfId="8844" xr:uid="{E161F4F6-E43C-44E1-9ED0-62285FF803BA}"/>
    <cellStyle name="Millares 90 3" xfId="1600" xr:uid="{FD80909B-EB55-4F2F-8335-46EE47A39D1E}"/>
    <cellStyle name="Millares 90 3 2" xfId="4560" xr:uid="{AD778390-B37C-4CEB-8805-6E529CA99103}"/>
    <cellStyle name="Millares 90 3 2 2" xfId="12128" xr:uid="{CB51FF2F-3D59-47A1-8024-06AFDA8C1DEB}"/>
    <cellStyle name="Millares 90 3 3" xfId="9208" xr:uid="{87775709-EA93-45D5-A9F1-AE90C48C7F85}"/>
    <cellStyle name="Millares 90 4" xfId="1979" xr:uid="{7C526E9C-9D42-485E-8DC5-406CAC84D0F5}"/>
    <cellStyle name="Millares 90 4 2" xfId="4938" xr:uid="{5D0555B8-2AC5-4A3B-A5CC-1E6F2D3E4079}"/>
    <cellStyle name="Millares 90 4 2 2" xfId="12506" xr:uid="{C529F8A8-00CF-453D-BC26-88AA4489FF4C}"/>
    <cellStyle name="Millares 90 4 3" xfId="9586" xr:uid="{7C268A7D-0280-44EC-B123-6FE43AC0EAE4}"/>
    <cellStyle name="Millares 90 5" xfId="3665" xr:uid="{3D3FF686-26FB-4C0F-9D9C-2CF0753A5EE2}"/>
    <cellStyle name="Millares 90 5 2" xfId="11233" xr:uid="{16004B4A-21CE-4A8F-81A5-D693C1B07864}"/>
    <cellStyle name="Millares 90 6" xfId="8313" xr:uid="{3377A812-22D1-4715-9679-3A05E2B0C49A}"/>
    <cellStyle name="Millares 91" xfId="456" xr:uid="{2E18E9D6-CED4-41ED-8037-D82B347A27C3}"/>
    <cellStyle name="Millares 91 2" xfId="1238" xr:uid="{0545AE2A-7417-4BD3-9C9A-262B5FE7B3A5}"/>
    <cellStyle name="Millares 91 2 2" xfId="4198" xr:uid="{03343C05-C39A-44F8-8E74-B5068C5237CC}"/>
    <cellStyle name="Millares 91 2 2 2" xfId="11766" xr:uid="{0C47DC6E-FDF4-4CC0-B8F8-C392294035B4}"/>
    <cellStyle name="Millares 91 2 3" xfId="8846" xr:uid="{4B12491D-3C30-4106-9A48-AEC8B654D52A}"/>
    <cellStyle name="Millares 91 3" xfId="1602" xr:uid="{544C6589-5371-4962-8940-E7ACCA3972DB}"/>
    <cellStyle name="Millares 91 3 2" xfId="4562" xr:uid="{049F9026-E667-4F29-BD58-593D45F51F8C}"/>
    <cellStyle name="Millares 91 3 2 2" xfId="12130" xr:uid="{D6BB0392-3497-4E49-A97F-14839BE2719C}"/>
    <cellStyle name="Millares 91 3 3" xfId="9210" xr:uid="{F3FFB920-E539-4438-9FC1-CDB1B740640D}"/>
    <cellStyle name="Millares 91 4" xfId="1981" xr:uid="{28A7642D-BD28-4551-8480-30070742030F}"/>
    <cellStyle name="Millares 91 4 2" xfId="4940" xr:uid="{DE549D9D-E1AE-4EDC-887E-D81B74B14598}"/>
    <cellStyle name="Millares 91 4 2 2" xfId="12508" xr:uid="{F76FA6A5-AA34-41BE-A074-C1155C94012C}"/>
    <cellStyle name="Millares 91 4 3" xfId="9588" xr:uid="{3B46208A-B5E9-4B84-A60D-715B5580C314}"/>
    <cellStyle name="Millares 91 5" xfId="3667" xr:uid="{5E08B0AD-7B32-48D6-9C2A-F042E784CB3D}"/>
    <cellStyle name="Millares 91 5 2" xfId="11235" xr:uid="{F7BB280B-086D-40F3-8254-BF6527B8CE56}"/>
    <cellStyle name="Millares 91 6" xfId="8315" xr:uid="{AEDF3263-8641-408B-A165-0CFE089F9370}"/>
    <cellStyle name="Millares 92" xfId="459" xr:uid="{9CDCAB01-BE8C-426F-BE5C-8582F738D308}"/>
    <cellStyle name="Millares 92 2" xfId="1240" xr:uid="{21DB3268-505C-4AD5-A5B4-813774494663}"/>
    <cellStyle name="Millares 92 2 2" xfId="4200" xr:uid="{BCBE0901-0B0F-4B71-BEED-EC5C0475BEA7}"/>
    <cellStyle name="Millares 92 2 2 2" xfId="11768" xr:uid="{C278BB4E-313F-44B6-B336-AEFECA23E4D0}"/>
    <cellStyle name="Millares 92 2 3" xfId="8848" xr:uid="{D291C9C4-546B-45C7-8F5D-CFCDBA37747C}"/>
    <cellStyle name="Millares 92 3" xfId="1604" xr:uid="{14CEA903-8D74-4675-8672-9E1E6C39679E}"/>
    <cellStyle name="Millares 92 3 2" xfId="4564" xr:uid="{C077E4F3-E852-4331-8B28-7C0A21456B96}"/>
    <cellStyle name="Millares 92 3 2 2" xfId="12132" xr:uid="{D6F376B3-BD9B-4F19-9B8D-2A67E6F56DA2}"/>
    <cellStyle name="Millares 92 3 3" xfId="9212" xr:uid="{E3663C5D-1D8E-4FF4-8DE7-C7DC47C676A5}"/>
    <cellStyle name="Millares 92 4" xfId="1983" xr:uid="{63487C1C-9B76-4F41-95AC-46853127DAF2}"/>
    <cellStyle name="Millares 92 4 2" xfId="4942" xr:uid="{9A0DD01F-3693-448D-B1FA-E8546616FDD2}"/>
    <cellStyle name="Millares 92 4 2 2" xfId="12510" xr:uid="{DB2D2950-2BC7-42D0-A699-41601BC1782D}"/>
    <cellStyle name="Millares 92 4 3" xfId="9590" xr:uid="{E6BEF97B-5815-4C6B-B68B-E78A598E7E95}"/>
    <cellStyle name="Millares 92 5" xfId="3669" xr:uid="{8ACC41A7-BA32-412C-BCAE-DA17FE589BF6}"/>
    <cellStyle name="Millares 92 5 2" xfId="11237" xr:uid="{A0DE30B6-CD70-49DF-B123-A096DEDB70F9}"/>
    <cellStyle name="Millares 92 6" xfId="8317" xr:uid="{BAFECAE1-1B1F-4554-9793-F22A29DEBBB1}"/>
    <cellStyle name="Millares 93" xfId="462" xr:uid="{CFA618AF-AA05-4938-8CDB-A8E417BBE1ED}"/>
    <cellStyle name="Millares 93 2" xfId="1242" xr:uid="{5C76F561-AF9F-4A5B-8392-7E99CC7204F8}"/>
    <cellStyle name="Millares 93 2 2" xfId="4202" xr:uid="{7EC02BEC-7E6B-43AD-8A5D-9FE1C7884624}"/>
    <cellStyle name="Millares 93 2 2 2" xfId="11770" xr:uid="{2CD677AA-4153-4778-A05A-00282DC4D3E9}"/>
    <cellStyle name="Millares 93 2 3" xfId="8850" xr:uid="{4C63087D-F94B-42A3-A739-5FD8100F2B68}"/>
    <cellStyle name="Millares 93 3" xfId="1606" xr:uid="{AD7B87F5-A2BF-4F57-A1FD-C254A6CB204C}"/>
    <cellStyle name="Millares 93 3 2" xfId="4566" xr:uid="{1BB814E7-FD71-4583-B476-ABE292D37C03}"/>
    <cellStyle name="Millares 93 3 2 2" xfId="12134" xr:uid="{97CF11E2-6404-4398-90F0-C89DF82F28A1}"/>
    <cellStyle name="Millares 93 3 3" xfId="9214" xr:uid="{B4B2E9B0-BAE8-4C1A-A64A-D4892B6BB724}"/>
    <cellStyle name="Millares 93 4" xfId="1985" xr:uid="{CE0BC4B5-7840-4B02-8398-A59FC15B642F}"/>
    <cellStyle name="Millares 93 4 2" xfId="4944" xr:uid="{FC8E08BF-4225-4FB5-ADDE-2ABEA938C3FB}"/>
    <cellStyle name="Millares 93 4 2 2" xfId="12512" xr:uid="{A4C36256-1D0B-41AE-AE69-1F558EEC7723}"/>
    <cellStyle name="Millares 93 4 3" xfId="9592" xr:uid="{4F140C10-269E-41E4-AA16-AE24D65902AE}"/>
    <cellStyle name="Millares 93 5" xfId="3671" xr:uid="{8C8AEEA1-6A08-46D7-BE1F-405B5FC1E770}"/>
    <cellStyle name="Millares 93 5 2" xfId="11239" xr:uid="{EA066077-FEA1-4A82-B5D3-45B14B00FD30}"/>
    <cellStyle name="Millares 93 6" xfId="8319" xr:uid="{89F21FF9-CEEA-4B0E-9984-2097B85F5DAF}"/>
    <cellStyle name="Millares 94" xfId="465" xr:uid="{1CB37D2A-935B-4B5F-97C2-28F6C5BEA05A}"/>
    <cellStyle name="Millares 94 2" xfId="1244" xr:uid="{26F14B76-A8AB-4E4D-9DDA-108BD9FFFE0D}"/>
    <cellStyle name="Millares 94 2 2" xfId="4204" xr:uid="{6C1F880B-DF6C-4742-B941-9FF88B290008}"/>
    <cellStyle name="Millares 94 2 2 2" xfId="11772" xr:uid="{1D503719-8F95-4128-A811-CCB5F8A0AE35}"/>
    <cellStyle name="Millares 94 2 3" xfId="8852" xr:uid="{99557FDF-F34A-4EAC-B003-5C6AEA3673DB}"/>
    <cellStyle name="Millares 94 3" xfId="1608" xr:uid="{41BAAAFD-C4B3-4C06-8F12-B8513C67FB1A}"/>
    <cellStyle name="Millares 94 3 2" xfId="4568" xr:uid="{F74E17AE-2954-41CC-8407-5D680B90A41D}"/>
    <cellStyle name="Millares 94 3 2 2" xfId="12136" xr:uid="{0ECE7688-73D2-4E47-B3D4-48489F823CD2}"/>
    <cellStyle name="Millares 94 3 3" xfId="9216" xr:uid="{E92CEE49-4DA0-473B-A290-6E7D5511D1EC}"/>
    <cellStyle name="Millares 94 4" xfId="1987" xr:uid="{B76C928F-9CD1-442E-870C-591478F5309F}"/>
    <cellStyle name="Millares 94 4 2" xfId="4946" xr:uid="{F8E7B468-4D9F-48C0-AC0D-683323C74E10}"/>
    <cellStyle name="Millares 94 4 2 2" xfId="12514" xr:uid="{02B08D3D-9ECD-4CD9-9FF0-15E61F3B4853}"/>
    <cellStyle name="Millares 94 4 3" xfId="9594" xr:uid="{6B786852-FF23-45C4-B0A8-0C84A2A3A94D}"/>
    <cellStyle name="Millares 94 5" xfId="3673" xr:uid="{3A10C86B-F577-4F6A-B8C3-9D7D39C5E747}"/>
    <cellStyle name="Millares 94 5 2" xfId="11241" xr:uid="{1A66F29A-6404-45E8-884F-E6395EF55E4F}"/>
    <cellStyle name="Millares 94 6" xfId="8321" xr:uid="{87CF47D0-B174-427D-ADEF-9E9D2BD592E7}"/>
    <cellStyle name="Millares 95" xfId="468" xr:uid="{1B4959A8-BFE8-4340-8514-23CD966FEC6F}"/>
    <cellStyle name="Millares 95 2" xfId="1246" xr:uid="{31B78E60-2FEC-44D9-B08B-E3EA4A8E1DAF}"/>
    <cellStyle name="Millares 95 2 2" xfId="4206" xr:uid="{B75F99F2-4F8F-4FBE-89AE-1A3C13472AAB}"/>
    <cellStyle name="Millares 95 2 2 2" xfId="11774" xr:uid="{A3E82EF8-F62E-42F5-B841-1184A8B804F8}"/>
    <cellStyle name="Millares 95 2 3" xfId="8854" xr:uid="{E06B19E7-EDF4-4163-BB2C-453000A461B1}"/>
    <cellStyle name="Millares 95 3" xfId="1610" xr:uid="{4A02422B-AC65-4FC1-A37B-7F77EB999A53}"/>
    <cellStyle name="Millares 95 3 2" xfId="4570" xr:uid="{0A5C34C7-F66C-47DE-84F8-3E3DD8EBD774}"/>
    <cellStyle name="Millares 95 3 2 2" xfId="12138" xr:uid="{64D209AF-28A3-4AD1-96B9-2A04F59C2A60}"/>
    <cellStyle name="Millares 95 3 3" xfId="9218" xr:uid="{0C07B545-5F75-479C-9B9A-3DBBB675E389}"/>
    <cellStyle name="Millares 95 4" xfId="1989" xr:uid="{A78BA21C-994D-488F-88FD-606634F34120}"/>
    <cellStyle name="Millares 95 4 2" xfId="4948" xr:uid="{E53F7322-98D4-4F40-B485-2B07282FF2AC}"/>
    <cellStyle name="Millares 95 4 2 2" xfId="12516" xr:uid="{4E957D5B-9BC7-412A-8CDF-F9B7EBAE85E2}"/>
    <cellStyle name="Millares 95 4 3" xfId="9596" xr:uid="{1D8DA97A-3CB6-4953-A06B-F12FB5A2B6E2}"/>
    <cellStyle name="Millares 95 5" xfId="3675" xr:uid="{C2461788-8530-4E28-B1F7-45436BA697C4}"/>
    <cellStyle name="Millares 95 5 2" xfId="11243" xr:uid="{6A05C3DA-FF63-4314-8C51-FB1597D0FE2A}"/>
    <cellStyle name="Millares 95 6" xfId="8323" xr:uid="{33733450-75BA-4CAB-B54F-F69F512DFF31}"/>
    <cellStyle name="Millares 96" xfId="471" xr:uid="{22805E5F-499F-4C54-9227-4A420509623E}"/>
    <cellStyle name="Millares 96 2" xfId="1248" xr:uid="{5CB8F13C-2EFF-4EEE-9364-AE2FEACFBA84}"/>
    <cellStyle name="Millares 96 2 2" xfId="4208" xr:uid="{ACA3B073-5778-41AB-B72D-B51B58220795}"/>
    <cellStyle name="Millares 96 2 2 2" xfId="11776" xr:uid="{C90E3083-AE4B-4C8D-AA1C-595637DD8820}"/>
    <cellStyle name="Millares 96 2 3" xfId="8856" xr:uid="{BC4C4E9D-D5F8-4D9E-9050-FAF15C139861}"/>
    <cellStyle name="Millares 96 3" xfId="1612" xr:uid="{6822CFD3-B717-4E6B-8277-ED6EF9117274}"/>
    <cellStyle name="Millares 96 3 2" xfId="4572" xr:uid="{C47036B9-6DAF-4F05-8E5B-056FD2AB5750}"/>
    <cellStyle name="Millares 96 3 2 2" xfId="12140" xr:uid="{A27004C7-DBC0-45DB-A01B-0CB5D8DF0B67}"/>
    <cellStyle name="Millares 96 3 3" xfId="9220" xr:uid="{1E532DA7-67C0-4AB9-8E80-298FBE328093}"/>
    <cellStyle name="Millares 96 4" xfId="1991" xr:uid="{56CF26CB-2DE8-4D8E-A0D9-1E27F58BA2B8}"/>
    <cellStyle name="Millares 96 4 2" xfId="4950" xr:uid="{1446894F-9F0D-449F-83B8-499D71C4B16E}"/>
    <cellStyle name="Millares 96 4 2 2" xfId="12518" xr:uid="{ABC84964-952A-4EC9-8BC4-893A64748977}"/>
    <cellStyle name="Millares 96 4 3" xfId="9598" xr:uid="{13A0507E-A5BD-42BB-ACA8-DAC5F6314C37}"/>
    <cellStyle name="Millares 96 5" xfId="3677" xr:uid="{680177F2-AA7A-4908-BE37-DC5ADB99B2D8}"/>
    <cellStyle name="Millares 96 5 2" xfId="11245" xr:uid="{146BAF0B-6C4A-482D-8591-EB5E84463938}"/>
    <cellStyle name="Millares 96 6" xfId="8325" xr:uid="{BD3DE520-A25E-4F28-A1C2-EF3556E951ED}"/>
    <cellStyle name="Millares 97" xfId="474" xr:uid="{68A6CFDC-3A0E-49A6-89C6-E4DACD1799D1}"/>
    <cellStyle name="Millares 97 2" xfId="1250" xr:uid="{E3E441B6-4172-4952-A72F-05C1511CF5BC}"/>
    <cellStyle name="Millares 97 2 2" xfId="4210" xr:uid="{C8EE0402-0237-4772-B95E-26050A01DAD6}"/>
    <cellStyle name="Millares 97 2 2 2" xfId="11778" xr:uid="{3690CBE5-BEB0-4A10-8383-7CA0743E375E}"/>
    <cellStyle name="Millares 97 2 3" xfId="8858" xr:uid="{1180761E-7E7D-40B1-9265-6B5A9B1B2421}"/>
    <cellStyle name="Millares 97 3" xfId="1614" xr:uid="{0A83A48B-9ADC-4413-BA9B-BDC03E307FF9}"/>
    <cellStyle name="Millares 97 3 2" xfId="4574" xr:uid="{F39F5CCA-B138-4FA7-B751-1E064AD7A126}"/>
    <cellStyle name="Millares 97 3 2 2" xfId="12142" xr:uid="{8557089E-9977-485B-B48A-273E61538C19}"/>
    <cellStyle name="Millares 97 3 3" xfId="9222" xr:uid="{362BCB20-D092-403B-9CDD-E43BF1AFB3E1}"/>
    <cellStyle name="Millares 97 4" xfId="1993" xr:uid="{BAEB30D1-C636-4C8E-814B-01FCCA5C6A79}"/>
    <cellStyle name="Millares 97 4 2" xfId="4952" xr:uid="{0D1CE68C-1275-44C4-9C16-BE4200874F66}"/>
    <cellStyle name="Millares 97 4 2 2" xfId="12520" xr:uid="{640F67BB-2310-4D3B-8678-88CEE64E0D5A}"/>
    <cellStyle name="Millares 97 4 3" xfId="9600" xr:uid="{0D4BC6F8-3856-4902-BD55-D45AA5565952}"/>
    <cellStyle name="Millares 97 5" xfId="3679" xr:uid="{1FFA17FC-6E93-4BF7-A765-EF5552BF2A1D}"/>
    <cellStyle name="Millares 97 5 2" xfId="11247" xr:uid="{B4A465C5-1026-4A35-B124-18B4A6E070EE}"/>
    <cellStyle name="Millares 97 6" xfId="8327" xr:uid="{C419B734-7161-405C-82C9-D2FB16AD9B54}"/>
    <cellStyle name="Millares 98" xfId="477" xr:uid="{D1C15B0C-514C-4C14-8D62-121F560EBE28}"/>
    <cellStyle name="Millares 98 2" xfId="1252" xr:uid="{C4200F21-60B5-4ACA-86EA-6B2677850D3E}"/>
    <cellStyle name="Millares 98 2 2" xfId="4212" xr:uid="{A87B71A3-0296-40D1-AF86-ED81F4C2D7E3}"/>
    <cellStyle name="Millares 98 2 2 2" xfId="11780" xr:uid="{E0E7E3F9-B64B-4523-A7FB-24B385FD7DBE}"/>
    <cellStyle name="Millares 98 2 3" xfId="8860" xr:uid="{685615AD-71AA-4883-AC08-2D09118CD9C8}"/>
    <cellStyle name="Millares 98 3" xfId="1616" xr:uid="{04BDB023-EAE3-4DCB-8CE8-0BB6F5C848BB}"/>
    <cellStyle name="Millares 98 3 2" xfId="4576" xr:uid="{D7223E7D-8C0D-499F-8D73-D2B7494974E3}"/>
    <cellStyle name="Millares 98 3 2 2" xfId="12144" xr:uid="{29BC08B9-EC04-496A-B6DB-21B6BE022482}"/>
    <cellStyle name="Millares 98 3 3" xfId="9224" xr:uid="{24A49615-20B7-432C-BB0C-1CB97AC519F9}"/>
    <cellStyle name="Millares 98 4" xfId="1995" xr:uid="{21F649F1-4D13-4B85-ACCF-7DECA8CF2DD1}"/>
    <cellStyle name="Millares 98 4 2" xfId="4954" xr:uid="{F5F25DB8-B5F7-41AF-B46F-E5AF9D92C324}"/>
    <cellStyle name="Millares 98 4 2 2" xfId="12522" xr:uid="{AEBC479F-E306-4460-82C4-CC40CA6754D7}"/>
    <cellStyle name="Millares 98 4 3" xfId="9602" xr:uid="{5C645142-FFB9-4A1F-9D6E-8B22ACBFAA91}"/>
    <cellStyle name="Millares 98 5" xfId="3681" xr:uid="{1539C8C6-CFCE-431B-B4B4-4FCC7A0C5056}"/>
    <cellStyle name="Millares 98 5 2" xfId="11249" xr:uid="{6128D6A4-D61D-48D0-9E9F-2E3C16059A6A}"/>
    <cellStyle name="Millares 98 6" xfId="8329" xr:uid="{B84D0AD7-9118-4656-A6AC-25D012F5C205}"/>
    <cellStyle name="Millares 99" xfId="480" xr:uid="{BC0CD77D-8E03-40A0-BD13-723F5AE9DC69}"/>
    <cellStyle name="Millares 99 2" xfId="1254" xr:uid="{21CD0B54-8262-41E6-90E5-CB38BA3E0210}"/>
    <cellStyle name="Millares 99 2 2" xfId="4214" xr:uid="{B7D733F1-29A9-4786-A344-23AF48916D04}"/>
    <cellStyle name="Millares 99 2 2 2" xfId="11782" xr:uid="{42F41260-0024-4108-9DF7-771568D83A65}"/>
    <cellStyle name="Millares 99 2 3" xfId="8862" xr:uid="{545081AB-3C98-49C6-BEBB-B49601E808E5}"/>
    <cellStyle name="Millares 99 3" xfId="1618" xr:uid="{B2735861-4792-4604-B02A-C7C925A594A5}"/>
    <cellStyle name="Millares 99 3 2" xfId="4578" xr:uid="{441280C5-6075-4291-AEE1-40225A76E93F}"/>
    <cellStyle name="Millares 99 3 2 2" xfId="12146" xr:uid="{D18C0F6E-BD61-45B0-B2C7-35B426DD2171}"/>
    <cellStyle name="Millares 99 3 3" xfId="9226" xr:uid="{66A1DDA7-5CCE-4377-AB23-A4A9EA5B5C04}"/>
    <cellStyle name="Millares 99 4" xfId="1997" xr:uid="{E8A691E5-033B-43CA-BA34-A9CC00194F4B}"/>
    <cellStyle name="Millares 99 4 2" xfId="4956" xr:uid="{57F0B5FF-CFE0-4EA0-9ACB-EF5DDF6BDD39}"/>
    <cellStyle name="Millares 99 4 2 2" xfId="12524" xr:uid="{70D4FA55-AA66-47A5-A058-521CDA9F3622}"/>
    <cellStyle name="Millares 99 4 3" xfId="9604" xr:uid="{4409075F-73EF-4FED-91B3-7E2C01C41529}"/>
    <cellStyle name="Millares 99 5" xfId="3683" xr:uid="{386829BA-3D41-40E0-8F8C-103D582313FF}"/>
    <cellStyle name="Millares 99 5 2" xfId="11251" xr:uid="{E7B3F3F3-A629-4C6B-9AF7-D75B86835EAD}"/>
    <cellStyle name="Millares 99 6" xfId="8331" xr:uid="{DF15F74B-42E5-4A4C-84AF-41C45AB2BD85}"/>
    <cellStyle name="Moneda" xfId="17" xr:uid="{331F2F84-EA49-476F-8FC3-0B55569CEEB8}"/>
    <cellStyle name="Moneda [0] 2" xfId="169" xr:uid="{82B6A8B3-A1D0-4F3F-A112-E7A120FEF8D0}"/>
    <cellStyle name="Moneda [0] 2 2" xfId="176" xr:uid="{156399FB-08EB-47E3-9211-E09C4E13061A}"/>
    <cellStyle name="Moneda [0] 2 2 2" xfId="3483" xr:uid="{EE018430-AE8D-4B51-911C-8DC8425F35A2}"/>
    <cellStyle name="Moneda [0] 2 2 2 2" xfId="11051" xr:uid="{483F4E62-A220-4D66-8135-EDA3A37DE1DC}"/>
    <cellStyle name="Moneda [0] 2 2 3" xfId="8131" xr:uid="{76E87B09-2AFA-48C1-A7F1-A6092B8CB403}"/>
    <cellStyle name="Moneda [0] 2 3" xfId="3478" xr:uid="{E758A3CC-0D6C-4541-87E9-48C5C829ACDD}"/>
    <cellStyle name="Moneda [0] 2 3 2" xfId="11046" xr:uid="{2F251CAF-BB9C-4C6D-8C3B-957EEB59AA13}"/>
    <cellStyle name="Moneda [0] 2 4" xfId="8126" xr:uid="{D110B859-36AD-49BD-A486-A86BD5310EA1}"/>
    <cellStyle name="Moneda [0] 3" xfId="160" xr:uid="{895C2227-7247-494F-93A6-FACB8A98BCE0}"/>
    <cellStyle name="Moneda [0] 3 2" xfId="3470" xr:uid="{EDEAC42F-753A-424C-8DF6-1CA96A8FEA02}"/>
    <cellStyle name="Moneda [0] 3 2 2" xfId="11038" xr:uid="{B54D0D6C-C71C-46CA-8026-157B9761C94D}"/>
    <cellStyle name="Moneda [0] 3 3" xfId="8118" xr:uid="{62B4FB84-F90A-46D3-8F3E-D0B99052333B}"/>
    <cellStyle name="Moneda 10" xfId="40" xr:uid="{00000000-0005-0000-0000-00004F000000}"/>
    <cellStyle name="Moneda 10 10" xfId="3199" xr:uid="{4E1590ED-BE4B-4EE1-B0A2-18094D0B91CC}"/>
    <cellStyle name="Moneda 10 10 2" xfId="6203" xr:uid="{5348B74E-E09B-4B75-89CD-E4B75A8C4A1C}"/>
    <cellStyle name="Moneda 10 10 2 2" xfId="13764" xr:uid="{3DDF8D60-9A97-47E3-8E14-B29DAB4A4D18}"/>
    <cellStyle name="Moneda 10 10 2 2 2" xfId="8115" xr:uid="{F5ADEAE0-E87D-45CE-935B-3F97F850AEF1}"/>
    <cellStyle name="Moneda 10 10 2 2 2 2" xfId="15637" xr:uid="{25EFAAF6-8A23-4B1D-BCEE-6E17115EC435}"/>
    <cellStyle name="Moneda 10 10 3" xfId="7607" xr:uid="{742C1694-8399-47B2-BBA1-47600C24A64A}"/>
    <cellStyle name="Moneda 10 10 3 2" xfId="15136" xr:uid="{59BDED5A-3C64-4B49-BFBB-2EE5B2F6CDBB}"/>
    <cellStyle name="Moneda 10 10 4" xfId="10781" xr:uid="{DD5B4ADC-7310-463E-B789-CF7D5245B6DD}"/>
    <cellStyle name="Moneda 10 11" xfId="3327" xr:uid="{0B8F7B2E-AA3B-4DCD-9021-77D6A5E9401F}"/>
    <cellStyle name="Moneda 10 11 2" xfId="6329" xr:uid="{16501B5A-94C5-4724-9D04-CD4A0F52508E}"/>
    <cellStyle name="Moneda 10 11 2 2" xfId="13890" xr:uid="{8545F124-79BC-4A0C-8EC8-868CBB49BB81}"/>
    <cellStyle name="Moneda 10 11 3" xfId="7733" xr:uid="{C3756F1A-99A7-48A8-9797-FB2C910F4778}"/>
    <cellStyle name="Moneda 10 11 3 2" xfId="15262" xr:uid="{7AE45AA4-0652-4BA0-A1CA-E9E5974C604F}"/>
    <cellStyle name="Moneda 10 11 4" xfId="10907" xr:uid="{65875AA2-2308-40D3-80D6-5B9E1F56C971}"/>
    <cellStyle name="Moneda 10 12" xfId="2323" xr:uid="{0340841F-764E-49DF-AC9E-DB48D48080AC}"/>
    <cellStyle name="Moneda 10 12 2" xfId="6465" xr:uid="{7499D334-32CD-4009-BFF2-3E555E483D98}"/>
    <cellStyle name="Moneda 10 12 2 2" xfId="14021" xr:uid="{AB595DE9-7400-4BA5-9D84-7C5C2B49FFCA}"/>
    <cellStyle name="Moneda 10 12 3" xfId="7864" xr:uid="{007015FB-C431-463B-95F3-6B713FF50FFC}"/>
    <cellStyle name="Moneda 10 12 3 2" xfId="15393" xr:uid="{4B59F9A9-675B-4D7D-9B38-3BDC113B4635}"/>
    <cellStyle name="Moneda 10 12 4" xfId="9921" xr:uid="{55D45A96-BF59-4D7D-A799-E312DDDB5092}"/>
    <cellStyle name="Moneda 10 13" xfId="3490" xr:uid="{E09B2FE4-E38C-41B4-853E-3BE36E364200}"/>
    <cellStyle name="Moneda 10 13 2" xfId="11058" xr:uid="{50FE440D-5C3F-4373-AAA9-BDF6B02C81D2}"/>
    <cellStyle name="Moneda 10 14" xfId="5342" xr:uid="{9E3B8E64-88F7-4855-9CA0-AB52C28640B8}"/>
    <cellStyle name="Moneda 10 14 2" xfId="12903" xr:uid="{AFDBE19C-6B54-43FA-993F-26099A5B1F1F}"/>
    <cellStyle name="Moneda 10 15" xfId="6746" xr:uid="{64ECD773-974D-4D12-9BAE-3A5E0B2599F9}"/>
    <cellStyle name="Moneda 10 15 2" xfId="14275" xr:uid="{F895EDB2-988E-4EE5-A5DA-3E4B931F9E0A}"/>
    <cellStyle name="Moneda 10 16" xfId="8138" xr:uid="{FFBDFE66-9FA9-4396-85BB-09ECE0A4858A}"/>
    <cellStyle name="Moneda 10 17" xfId="184" xr:uid="{46BD704F-4E1E-4205-B686-86EF7AF74588}"/>
    <cellStyle name="Moneda 10 2" xfId="1077" xr:uid="{FF5B417A-FA57-46E3-9B8F-6B2B95164590}"/>
    <cellStyle name="Moneda 10 2 10" xfId="3356" xr:uid="{61CA5513-5551-43F6-87B4-57CB696AFB88}"/>
    <cellStyle name="Moneda 10 2 10 2" xfId="6358" xr:uid="{6D189F21-B981-46F4-84FB-4B179100ED1E}"/>
    <cellStyle name="Moneda 10 2 10 2 2" xfId="13919" xr:uid="{9E0BF707-FBAC-4D42-B7C1-69C49B75FE7A}"/>
    <cellStyle name="Moneda 10 2 10 3" xfId="7762" xr:uid="{C51A7745-1539-42A4-AA52-7CE170824A06}"/>
    <cellStyle name="Moneda 10 2 10 3 2" xfId="15291" xr:uid="{C5F983D2-1081-4C5A-984A-76DDD8225B06}"/>
    <cellStyle name="Moneda 10 2 10 4" xfId="10936" xr:uid="{05D9F6F4-7E77-4A07-9258-D18AB7E39B87}"/>
    <cellStyle name="Moneda 10 2 11" xfId="2358" xr:uid="{E6E5C7FB-E7DA-4A2E-A06F-04844C5F5AFA}"/>
    <cellStyle name="Moneda 10 2 11 2" xfId="6494" xr:uid="{F00AE346-88BB-40CA-93D1-61F2928FC173}"/>
    <cellStyle name="Moneda 10 2 11 2 2" xfId="14050" xr:uid="{6B120543-1A38-4B88-8A65-4B223BB9104A}"/>
    <cellStyle name="Moneda 10 2 11 3" xfId="7893" xr:uid="{2731BC57-F285-461A-BBCD-EC099EC640EE}"/>
    <cellStyle name="Moneda 10 2 11 3 2" xfId="15422" xr:uid="{4D2408C2-9FC6-4DFC-9F5A-83108987B366}"/>
    <cellStyle name="Moneda 10 2 11 4" xfId="9951" xr:uid="{0E5B9844-CBC0-4CAB-A213-848CC51B78B0}"/>
    <cellStyle name="Moneda 10 2 12" xfId="4037" xr:uid="{ECD5C6F7-A731-4789-B072-9ED21AADB0C3}"/>
    <cellStyle name="Moneda 10 2 12 2" xfId="11605" xr:uid="{69F17AFC-6E9E-4557-9454-90A70F2E2E9C}"/>
    <cellStyle name="Moneda 10 2 13" xfId="5373" xr:uid="{095BC628-21A3-4EA9-98D1-74E4225C89AB}"/>
    <cellStyle name="Moneda 10 2 13 2" xfId="12934" xr:uid="{8C18463F-8851-4711-AC85-BF003278D27A}"/>
    <cellStyle name="Moneda 10 2 14" xfId="6777" xr:uid="{0A67D266-0A79-455B-ACF6-AB2D7C4F2F86}"/>
    <cellStyle name="Moneda 10 2 14 2" xfId="14306" xr:uid="{69D8A2A8-1DA5-45B3-8CF0-213A0BCF095A}"/>
    <cellStyle name="Moneda 10 2 15" xfId="8685" xr:uid="{7E178B02-732C-4507-A19A-D5C2DBDF315A}"/>
    <cellStyle name="Moneda 10 2 2" xfId="2421" xr:uid="{27203484-FFDB-4AB6-85EF-53FBAE13F010}"/>
    <cellStyle name="Moneda 10 2 2 10" xfId="6552" xr:uid="{705D3676-2BCF-489E-8A17-5EDB09C0C36A}"/>
    <cellStyle name="Moneda 10 2 2 10 2" xfId="7951" xr:uid="{4144CCCB-298A-4537-9C14-EF64DC090C27}"/>
    <cellStyle name="Moneda 10 2 2 10 2 2" xfId="15480" xr:uid="{DF3A68DF-CBDD-4E84-A147-0F4D3794424F}"/>
    <cellStyle name="Moneda 10 2 2 10 3" xfId="14108" xr:uid="{1AB0EBBB-BA03-4D65-9E6E-4E500CF511F8}"/>
    <cellStyle name="Moneda 10 2 2 11" xfId="5431" xr:uid="{7B4A0C60-DF12-445C-8EF4-DC87F01BE6D0}"/>
    <cellStyle name="Moneda 10 2 2 11 2" xfId="12992" xr:uid="{CBC9E752-93A5-4489-820D-E2D6732DEB87}"/>
    <cellStyle name="Moneda 10 2 2 12" xfId="6835" xr:uid="{778EDB54-F712-4EEA-9D20-3908E530476A}"/>
    <cellStyle name="Moneda 10 2 2 12 2" xfId="14364" xr:uid="{EACA4DD4-F75C-4B79-BB3A-C7A663370696}"/>
    <cellStyle name="Moneda 10 2 2 13" xfId="10009" xr:uid="{FBD25D7F-E678-439C-A3BC-89A2BE2E74DC}"/>
    <cellStyle name="Moneda 10 2 2 2" xfId="2545" xr:uid="{12C7DEB4-7931-4F5F-948F-0445F2B791EB}"/>
    <cellStyle name="Moneda 10 2 2 2 2" xfId="6687" xr:uid="{9B9CF6B6-B689-4E0C-9B25-6170F88E084E}"/>
    <cellStyle name="Moneda 10 2 2 2 2 2" xfId="8073" xr:uid="{BE18DC35-1C68-4606-8815-B13BEF0D3098}"/>
    <cellStyle name="Moneda 10 2 2 2 2 2 2" xfId="15602" xr:uid="{8187334B-7959-4148-9385-8BDC31EBC1DA}"/>
    <cellStyle name="Moneda 10 2 2 2 2 3" xfId="14230" xr:uid="{C6574CF0-F42D-4D71-95B1-DF3E3959B350}"/>
    <cellStyle name="Moneda 10 2 2 2 3" xfId="5551" xr:uid="{E8E95AE8-4756-4D16-999F-1277CCB3ABB7}"/>
    <cellStyle name="Moneda 10 2 2 2 3 2" xfId="13112" xr:uid="{0A5112AB-9CAA-433E-A496-E8FB40937AE0}"/>
    <cellStyle name="Moneda 10 2 2 2 4" xfId="6955" xr:uid="{F173F874-9247-45BD-9E68-3C79F8C0C3DE}"/>
    <cellStyle name="Moneda 10 2 2 2 4 2" xfId="14484" xr:uid="{02E5E1EA-0E3D-47DD-A052-E394EC715255}"/>
    <cellStyle name="Moneda 10 2 2 2 5" xfId="10129" xr:uid="{7A86F7BF-FABB-4A61-AEBE-833B55B73AA6}"/>
    <cellStyle name="Moneda 10 2 2 3" xfId="2666" xr:uid="{881FCD68-37D2-4501-BE72-514120D702FD}"/>
    <cellStyle name="Moneda 10 2 2 3 2" xfId="5671" xr:uid="{9643747E-C8AA-457D-BAB6-AD379698E6C8}"/>
    <cellStyle name="Moneda 10 2 2 3 2 2" xfId="13232" xr:uid="{45916BF6-99EE-4D75-849E-141AEC032E8F}"/>
    <cellStyle name="Moneda 10 2 2 3 3" xfId="7075" xr:uid="{D2CCA26E-61D5-411B-B8E3-51B888C3EF90}"/>
    <cellStyle name="Moneda 10 2 2 3 3 2" xfId="14604" xr:uid="{4B919FC7-397C-47F4-8211-77FAB3AD0AD9}"/>
    <cellStyle name="Moneda 10 2 2 3 4" xfId="10249" xr:uid="{DCC46574-19B5-43CE-B032-C08F98199974}"/>
    <cellStyle name="Moneda 10 2 2 4" xfId="2788" xr:uid="{262CF244-773D-463F-82D7-2C59FF5715F7}"/>
    <cellStyle name="Moneda 10 2 2 4 2" xfId="5793" xr:uid="{FCE57C6D-46E0-4084-8CDB-5AB799212163}"/>
    <cellStyle name="Moneda 10 2 2 4 2 2" xfId="13354" xr:uid="{DE926389-F761-4DE8-853C-89CFFE9B2C4E}"/>
    <cellStyle name="Moneda 10 2 2 4 3" xfId="7197" xr:uid="{F7C78563-6FAE-4100-B439-D0A2FE42D6A4}"/>
    <cellStyle name="Moneda 10 2 2 4 3 2" xfId="14726" xr:uid="{AF4A34BB-10B9-43D3-8E98-C1D555E8D5B9}"/>
    <cellStyle name="Moneda 10 2 2 4 4" xfId="10371" xr:uid="{6B153151-1017-41C7-B91C-E866414E2C6B}"/>
    <cellStyle name="Moneda 10 2 2 5" xfId="2913" xr:uid="{E757C334-6A48-4939-8CB5-38D0163E5912}"/>
    <cellStyle name="Moneda 10 2 2 5 2" xfId="5917" xr:uid="{7522530A-5659-4A4F-9B08-FABE268078DC}"/>
    <cellStyle name="Moneda 10 2 2 5 2 2" xfId="13478" xr:uid="{824F6939-8B9B-447B-9A33-7537A26D9710}"/>
    <cellStyle name="Moneda 10 2 2 5 3" xfId="7321" xr:uid="{9525014C-FE3A-404F-915C-E4CA53165FF4}"/>
    <cellStyle name="Moneda 10 2 2 5 3 2" xfId="14850" xr:uid="{05005E60-CB21-4437-802E-8D341CDFC861}"/>
    <cellStyle name="Moneda 10 2 2 5 4" xfId="10495" xr:uid="{0F848891-D7E3-41F6-AB00-AF7FD19C5849}"/>
    <cellStyle name="Moneda 10 2 2 6" xfId="3037" xr:uid="{A4A20453-FAC2-4DFB-A03D-B2679280F45A}"/>
    <cellStyle name="Moneda 10 2 2 6 2" xfId="6041" xr:uid="{12DBC83C-68A6-4B66-9C50-DF52049289D3}"/>
    <cellStyle name="Moneda 10 2 2 6 2 2" xfId="13602" xr:uid="{FAEE5A6B-AD12-430C-870E-DBFD6226E51F}"/>
    <cellStyle name="Moneda 10 2 2 6 3" xfId="7445" xr:uid="{70619156-EC8A-4A75-9EDB-85DF6F100856}"/>
    <cellStyle name="Moneda 10 2 2 6 3 2" xfId="14974" xr:uid="{686515C6-EDF8-47A8-810E-79D1EBE333FF}"/>
    <cellStyle name="Moneda 10 2 2 6 4" xfId="10619" xr:uid="{9F80AB92-7CA0-48F9-B0D4-65BC521045A2}"/>
    <cellStyle name="Moneda 10 2 2 7" xfId="3161" xr:uid="{A72C0A9E-1706-426F-9CE5-383607640F35}"/>
    <cellStyle name="Moneda 10 2 2 7 2" xfId="6165" xr:uid="{A834F47C-6EE3-48E9-BC36-E34EC316723F}"/>
    <cellStyle name="Moneda 10 2 2 7 2 2" xfId="13726" xr:uid="{35568885-0ACB-4115-AFDC-DCB49F262311}"/>
    <cellStyle name="Moneda 10 2 2 7 3" xfId="7569" xr:uid="{F0DEC468-F691-462E-8B33-F98DB9FFEEC3}"/>
    <cellStyle name="Moneda 10 2 2 7 3 2" xfId="15098" xr:uid="{25508066-85C4-4781-8D9C-328785222854}"/>
    <cellStyle name="Moneda 10 2 2 7 4" xfId="10743" xr:uid="{6F4B2D55-52EB-4DC2-89FE-9A13DA467685}"/>
    <cellStyle name="Moneda 10 2 2 8" xfId="3286" xr:uid="{52B0701C-B508-4935-8A3A-0B86392AC95F}"/>
    <cellStyle name="Moneda 10 2 2 8 2" xfId="6290" xr:uid="{592B7EDA-A29B-498C-BF34-3DE9758A4018}"/>
    <cellStyle name="Moneda 10 2 2 8 2 2" xfId="13851" xr:uid="{86C7CE5D-A9C3-4383-99CE-D45BFA664E8D}"/>
    <cellStyle name="Moneda 10 2 2 8 3" xfId="7694" xr:uid="{C76D8980-3B46-429E-830B-10EAF97C02CA}"/>
    <cellStyle name="Moneda 10 2 2 8 3 2" xfId="15223" xr:uid="{F88C7A3F-DFAD-4CE6-9494-F4F56AAE5F55}"/>
    <cellStyle name="Moneda 10 2 2 8 4" xfId="10868" xr:uid="{05F9F269-6E3F-489A-8A8C-682BF533D73B}"/>
    <cellStyle name="Moneda 10 2 2 9" xfId="3414" xr:uid="{4693CB64-F0F5-400C-9AC0-7A08D1B9F88A}"/>
    <cellStyle name="Moneda 10 2 2 9 2" xfId="6416" xr:uid="{EA5E2E4C-C823-48A6-9C15-83B3AA3ED305}"/>
    <cellStyle name="Moneda 10 2 2 9 2 2" xfId="13977" xr:uid="{91FBF9E3-4256-470E-AF3C-89CD2CE84207}"/>
    <cellStyle name="Moneda 10 2 2 9 3" xfId="7820" xr:uid="{81BE0779-CFD2-4E90-9AF4-E428AAFB60F9}"/>
    <cellStyle name="Moneda 10 2 2 9 3 2" xfId="15349" xr:uid="{A3E380E3-2A77-4C04-9079-F2E632C81E99}"/>
    <cellStyle name="Moneda 10 2 2 9 4" xfId="10994" xr:uid="{54348162-2973-464F-B369-8146E5E89294}"/>
    <cellStyle name="Moneda 10 2 3" xfId="2487" xr:uid="{1BF0F6AB-25FE-422C-A486-BD0BA1E39A34}"/>
    <cellStyle name="Moneda 10 2 3 2" xfId="6629" xr:uid="{AEABD5E3-59F1-4963-AA3F-7C313FBF707C}"/>
    <cellStyle name="Moneda 10 2 3 2 2" xfId="8015" xr:uid="{5BE8D133-C3B8-4B10-B4F2-26607B75B5C5}"/>
    <cellStyle name="Moneda 10 2 3 2 2 2" xfId="15544" xr:uid="{3DAEC9F0-C937-45DF-A78F-930352C0DDDB}"/>
    <cellStyle name="Moneda 10 2 3 2 3" xfId="14172" xr:uid="{FF38315B-1674-4B48-8A71-2A40F158976F}"/>
    <cellStyle name="Moneda 10 2 3 3" xfId="5493" xr:uid="{B2FA268A-87C7-413E-9A89-7CCB21D05BB7}"/>
    <cellStyle name="Moneda 10 2 3 3 2" xfId="13054" xr:uid="{13076B21-84A6-42D4-8015-356B308D9A06}"/>
    <cellStyle name="Moneda 10 2 3 4" xfId="6897" xr:uid="{414199EB-8EDA-46D9-95C3-A878151F2542}"/>
    <cellStyle name="Moneda 10 2 3 4 2" xfId="14426" xr:uid="{C70BB04F-EE8F-4A68-9B33-AA65C806442D}"/>
    <cellStyle name="Moneda 10 2 3 5" xfId="10071" xr:uid="{05298CDA-6B5B-4CB2-9EDD-A42AA809AD52}"/>
    <cellStyle name="Moneda 10 2 4" xfId="2608" xr:uid="{B88597EA-D863-4C88-AFC6-9343A9CB5E3E}"/>
    <cellStyle name="Moneda 10 2 4 2" xfId="5613" xr:uid="{F236E5BA-778C-4300-B636-065E54914B25}"/>
    <cellStyle name="Moneda 10 2 4 2 2" xfId="13174" xr:uid="{DD88A1DA-6D4A-4F3A-B56E-781B126C3B70}"/>
    <cellStyle name="Moneda 10 2 4 3" xfId="7017" xr:uid="{FAA4247A-D7F5-448F-A6B6-15A5619C8F03}"/>
    <cellStyle name="Moneda 10 2 4 3 2" xfId="14546" xr:uid="{4E619EF6-0A17-4CE4-89CC-73A3DB424798}"/>
    <cellStyle name="Moneda 10 2 4 4" xfId="10191" xr:uid="{653C1D66-FDAA-454E-BD54-6DF4B41F90C7}"/>
    <cellStyle name="Moneda 10 2 5" xfId="2730" xr:uid="{3A2EF3AB-CFF8-4083-B6BB-2FB6F897BBB0}"/>
    <cellStyle name="Moneda 10 2 5 2" xfId="5735" xr:uid="{7B276A18-906D-4C9C-8C4D-15738AE90847}"/>
    <cellStyle name="Moneda 10 2 5 2 2" xfId="13296" xr:uid="{9A090645-EDAB-4E22-B442-0DA363A05029}"/>
    <cellStyle name="Moneda 10 2 5 3" xfId="7139" xr:uid="{7E397D38-3CEC-4DBA-94AF-84AAD48248A6}"/>
    <cellStyle name="Moneda 10 2 5 3 2" xfId="14668" xr:uid="{DDD225AD-B519-4554-BFBF-49B01DC1406F}"/>
    <cellStyle name="Moneda 10 2 5 4" xfId="10313" xr:uid="{EE475F1C-FA3C-43B4-97C6-41717ED61C36}"/>
    <cellStyle name="Moneda 10 2 6" xfId="2855" xr:uid="{0DE20126-DE60-46D8-96D8-8A6546ED3C58}"/>
    <cellStyle name="Moneda 10 2 6 2" xfId="5859" xr:uid="{C09B28F2-A075-4C7F-91D3-9B7EDD5BF8C3}"/>
    <cellStyle name="Moneda 10 2 6 2 2" xfId="13420" xr:uid="{833BBFB2-658F-4906-AF09-9762DE1EDADE}"/>
    <cellStyle name="Moneda 10 2 6 3" xfId="7263" xr:uid="{778B392B-DC3C-4F6D-8C15-3425F5D1E5A1}"/>
    <cellStyle name="Moneda 10 2 6 3 2" xfId="14792" xr:uid="{6007EB6F-84CE-4D6C-A64A-59854AFBD104}"/>
    <cellStyle name="Moneda 10 2 6 4" xfId="10437" xr:uid="{482B520C-344C-47A3-B9E5-D5E7F4226F11}"/>
    <cellStyle name="Moneda 10 2 7" xfId="2979" xr:uid="{4DD6EA20-CB51-4BF2-AD8A-78F11DAB5DB9}"/>
    <cellStyle name="Moneda 10 2 7 2" xfId="5983" xr:uid="{E063D585-75E1-41A2-B4B1-FDCBAAFC991E}"/>
    <cellStyle name="Moneda 10 2 7 2 2" xfId="13544" xr:uid="{5C66A950-4B33-4BA4-AAE5-DE2238E14506}"/>
    <cellStyle name="Moneda 10 2 7 3" xfId="7387" xr:uid="{237016AA-2EA4-4627-BA32-A618F169DE01}"/>
    <cellStyle name="Moneda 10 2 7 3 2" xfId="14916" xr:uid="{2876D305-2B49-42DB-B46F-B5DD5A3AE358}"/>
    <cellStyle name="Moneda 10 2 7 4" xfId="10561" xr:uid="{D1D4DAE4-0F86-4FC6-AA3B-B43E363E5556}"/>
    <cellStyle name="Moneda 10 2 8" xfId="3103" xr:uid="{E8E5B6E2-A5C5-4159-A9F9-83B48C6C1D2D}"/>
    <cellStyle name="Moneda 10 2 8 2" xfId="6107" xr:uid="{FD0C58E7-7C0C-4D60-B6D2-A4C5FF6F7C17}"/>
    <cellStyle name="Moneda 10 2 8 2 2" xfId="13668" xr:uid="{2B1AB833-1D41-4221-9F02-E293EF712707}"/>
    <cellStyle name="Moneda 10 2 8 3" xfId="7511" xr:uid="{55FEAC41-B8D3-4956-9AD5-E7E3A14BC8C2}"/>
    <cellStyle name="Moneda 10 2 8 3 2" xfId="15040" xr:uid="{C2F345A5-D2B2-4914-998C-E7FAFB5128F3}"/>
    <cellStyle name="Moneda 10 2 8 4" xfId="10685" xr:uid="{AAAFC1EB-F67C-4575-8E37-064B96A3F719}"/>
    <cellStyle name="Moneda 10 2 9" xfId="3228" xr:uid="{2E153181-1B2A-4DDF-BE72-B2963CF0F06D}"/>
    <cellStyle name="Moneda 10 2 9 2" xfId="6232" xr:uid="{F685D77B-81EB-4F0B-BA94-F17E8562F645}"/>
    <cellStyle name="Moneda 10 2 9 2 2" xfId="13793" xr:uid="{2BF2C248-04FB-4765-ABE8-04EE444B2213}"/>
    <cellStyle name="Moneda 10 2 9 3" xfId="7636" xr:uid="{548A2642-E870-47D0-9515-92BBBA25B39D}"/>
    <cellStyle name="Moneda 10 2 9 3 2" xfId="15165" xr:uid="{9FDDE6EA-FD85-49E4-AD55-1B8245684F10}"/>
    <cellStyle name="Moneda 10 2 9 4" xfId="10810" xr:uid="{BDDD605F-19D1-4965-8872-A39BE971A65C}"/>
    <cellStyle name="Moneda 10 20" xfId="8114" xr:uid="{A5B46837-046D-4DDC-953E-9D45FD76CEFB}"/>
    <cellStyle name="Moneda 10 20 2" xfId="15636" xr:uid="{1F8D15E5-EC12-4766-ADFF-B064B9F785C4}"/>
    <cellStyle name="Moneda 10 3" xfId="1441" xr:uid="{1D29B07F-7001-4C7B-BF93-45DD925F2A4D}"/>
    <cellStyle name="Moneda 10 3 10" xfId="2392" xr:uid="{5578ECA0-E58A-49DD-81B0-68F1BBB170FC}"/>
    <cellStyle name="Moneda 10 3 10 2" xfId="6523" xr:uid="{4438BB07-D89B-4859-B1F8-F8D4DF3851DE}"/>
    <cellStyle name="Moneda 10 3 10 2 2" xfId="14079" xr:uid="{1C7C445B-DA72-4D3B-8644-DCF642CADED0}"/>
    <cellStyle name="Moneda 10 3 10 3" xfId="7922" xr:uid="{E56F0442-8540-428D-BF59-B9EE275C23A2}"/>
    <cellStyle name="Moneda 10 3 10 3 2" xfId="15451" xr:uid="{2E6B9635-022F-4C8C-AE4B-4440D6D361F7}"/>
    <cellStyle name="Moneda 10 3 10 4" xfId="9980" xr:uid="{71D283C1-B5D0-4E2C-8DD0-6B663DF93CE0}"/>
    <cellStyle name="Moneda 10 3 11" xfId="4401" xr:uid="{587A1234-1AF0-4612-BEF8-78CF7A0475D8}"/>
    <cellStyle name="Moneda 10 3 11 2" xfId="11969" xr:uid="{8A2BEBE0-53D1-4ADA-893E-64A13988C65A}"/>
    <cellStyle name="Moneda 10 3 12" xfId="5402" xr:uid="{9216AECF-28CE-40F6-8A16-1B0586A27FB0}"/>
    <cellStyle name="Moneda 10 3 12 2" xfId="12963" xr:uid="{CCE0D24B-40F4-41D4-8508-C75DCB325893}"/>
    <cellStyle name="Moneda 10 3 13" xfId="6806" xr:uid="{888D9C5F-E64B-42AB-A4D3-056511203E11}"/>
    <cellStyle name="Moneda 10 3 13 2" xfId="14335" xr:uid="{4B26D8DD-9BE9-4121-BD9B-48100248A244}"/>
    <cellStyle name="Moneda 10 3 14" xfId="9049" xr:uid="{3A427DE5-2663-4E5E-9F41-9C7B73871BDB}"/>
    <cellStyle name="Moneda 10 3 2" xfId="2516" xr:uid="{C3889F45-0C0A-403C-BAD5-3B721BA9415C}"/>
    <cellStyle name="Moneda 10 3 2 2" xfId="6658" xr:uid="{19609BD0-87B3-4CF9-92AE-17A939A5E32D}"/>
    <cellStyle name="Moneda 10 3 2 2 2" xfId="8044" xr:uid="{4568C324-F8B1-454C-885E-11315970BE22}"/>
    <cellStyle name="Moneda 10 3 2 2 2 2" xfId="15573" xr:uid="{845E7C09-0B89-4F4D-8E0A-DE86DC13B781}"/>
    <cellStyle name="Moneda 10 3 2 2 3" xfId="14201" xr:uid="{885F6899-6ED7-4658-BAA6-9E977D6393BA}"/>
    <cellStyle name="Moneda 10 3 2 3" xfId="5522" xr:uid="{29FE2FA0-8EDD-47FC-865A-EDE43C12F419}"/>
    <cellStyle name="Moneda 10 3 2 3 2" xfId="13083" xr:uid="{BF251F9A-0B25-4191-831F-AE60B5C1EB5D}"/>
    <cellStyle name="Moneda 10 3 2 4" xfId="6926" xr:uid="{C7F3BF03-422F-4DF0-B7B2-A8BA71DA3671}"/>
    <cellStyle name="Moneda 10 3 2 4 2" xfId="14455" xr:uid="{5DEC98D4-1E6F-4FD5-8FA6-5F9AAF8DAF3A}"/>
    <cellStyle name="Moneda 10 3 2 5" xfId="10100" xr:uid="{9EBDA9E1-565C-46A6-B601-C1BC546DD203}"/>
    <cellStyle name="Moneda 10 3 3" xfId="2637" xr:uid="{6D488C1F-D179-45D4-8217-F27828CA28C0}"/>
    <cellStyle name="Moneda 10 3 3 2" xfId="5642" xr:uid="{3A080128-BCE2-4C8B-80A2-A0EE6A06AAD5}"/>
    <cellStyle name="Moneda 10 3 3 2 2" xfId="13203" xr:uid="{DD4B50E0-85F4-4013-A4A1-4D1E4CF52D4D}"/>
    <cellStyle name="Moneda 10 3 3 3" xfId="7046" xr:uid="{6663D490-ECE0-4E4E-9289-60A94AA24E41}"/>
    <cellStyle name="Moneda 10 3 3 3 2" xfId="14575" xr:uid="{923F00CA-A831-481E-B514-F29191B1D0A3}"/>
    <cellStyle name="Moneda 10 3 3 4" xfId="10220" xr:uid="{FEB6E45E-35C4-4151-BC4E-A646699D5A58}"/>
    <cellStyle name="Moneda 10 3 4" xfId="2759" xr:uid="{D16EB23A-EAB9-4699-9CBD-C65C11614EA5}"/>
    <cellStyle name="Moneda 10 3 4 2" xfId="5764" xr:uid="{8F63FFCE-F1D9-4DBF-AEA9-DC7447A0E042}"/>
    <cellStyle name="Moneda 10 3 4 2 2" xfId="13325" xr:uid="{0A679C8F-ADDE-45A4-9476-E864BD0E31FC}"/>
    <cellStyle name="Moneda 10 3 4 3" xfId="7168" xr:uid="{B8C1DF5F-8CC6-4777-921F-33897E6F945E}"/>
    <cellStyle name="Moneda 10 3 4 3 2" xfId="14697" xr:uid="{116C861B-8C65-4D49-9BE2-2A4F1D6299A9}"/>
    <cellStyle name="Moneda 10 3 4 4" xfId="10342" xr:uid="{6C71577C-A1B1-4E8F-B09C-40998B6A7827}"/>
    <cellStyle name="Moneda 10 3 5" xfId="2884" xr:uid="{76DD624C-53FD-42E2-94CC-BEAECBDE095A}"/>
    <cellStyle name="Moneda 10 3 5 2" xfId="5888" xr:uid="{8E53EA5E-7754-415D-A6A4-07A1AE8F8B96}"/>
    <cellStyle name="Moneda 10 3 5 2 2" xfId="13449" xr:uid="{9D717A5C-BFE6-438B-B2DA-BA8B4E4C2C30}"/>
    <cellStyle name="Moneda 10 3 5 3" xfId="7292" xr:uid="{3E7DF0F8-70E2-4B41-8A87-28D99214C156}"/>
    <cellStyle name="Moneda 10 3 5 3 2" xfId="14821" xr:uid="{2DCACB01-E0FE-42FF-B7D5-11E671355DA8}"/>
    <cellStyle name="Moneda 10 3 5 4" xfId="10466" xr:uid="{E782D332-F569-4B48-83C6-B297DE8A3273}"/>
    <cellStyle name="Moneda 10 3 6" xfId="3008" xr:uid="{C51A3054-318E-4D04-BFEA-077994CAC7F9}"/>
    <cellStyle name="Moneda 10 3 6 2" xfId="6012" xr:uid="{D832EBDA-A575-4DEB-BFF5-0261D9A55AF8}"/>
    <cellStyle name="Moneda 10 3 6 2 2" xfId="13573" xr:uid="{A0175CD8-7454-4652-BD10-CFFCD01F9085}"/>
    <cellStyle name="Moneda 10 3 6 3" xfId="7416" xr:uid="{B901F237-361C-404D-AD1C-B5F4C72C1CEA}"/>
    <cellStyle name="Moneda 10 3 6 3 2" xfId="14945" xr:uid="{C81C0E09-63E6-4BD5-AB8E-AAC3B990EE6D}"/>
    <cellStyle name="Moneda 10 3 6 4" xfId="10590" xr:uid="{D6A50EF0-915A-46C4-BE9E-22F6C97A2CF0}"/>
    <cellStyle name="Moneda 10 3 7" xfId="3132" xr:uid="{FB3BE818-6E20-4CC0-8F4F-A8C267B6B4AF}"/>
    <cellStyle name="Moneda 10 3 7 2" xfId="6136" xr:uid="{B34FBF51-91D7-4BD0-BD84-E09B49B87E73}"/>
    <cellStyle name="Moneda 10 3 7 2 2" xfId="13697" xr:uid="{0597E3CE-7C58-4703-98E0-830CC0E1FBE7}"/>
    <cellStyle name="Moneda 10 3 7 3" xfId="7540" xr:uid="{B4435AE0-4870-42C5-86DA-01E8DB70C55F}"/>
    <cellStyle name="Moneda 10 3 7 3 2" xfId="15069" xr:uid="{B1AA5D12-D6F2-4463-8091-B24021691739}"/>
    <cellStyle name="Moneda 10 3 7 4" xfId="10714" xr:uid="{2FF68588-D5F8-4CFF-9563-449E0B0BB474}"/>
    <cellStyle name="Moneda 10 3 8" xfId="3257" xr:uid="{7D34F3CA-05A8-45E1-9E90-DA291411508A}"/>
    <cellStyle name="Moneda 10 3 8 2" xfId="6261" xr:uid="{57C4CE45-3A44-4290-9640-BE510EFF1D4B}"/>
    <cellStyle name="Moneda 10 3 8 2 2" xfId="13822" xr:uid="{E8068A19-FCA7-4A7D-BD49-82482D5AA73E}"/>
    <cellStyle name="Moneda 10 3 8 3" xfId="7665" xr:uid="{DE843317-5371-48BF-83FE-78BA0DACC25E}"/>
    <cellStyle name="Moneda 10 3 8 3 2" xfId="15194" xr:uid="{339F3B60-E395-46DB-ACD9-53310831529B}"/>
    <cellStyle name="Moneda 10 3 8 4" xfId="10839" xr:uid="{89508B30-D099-428D-8AA1-C075CE98E8F4}"/>
    <cellStyle name="Moneda 10 3 9" xfId="3385" xr:uid="{FF2DACD1-9BEC-4140-895F-63894E661D81}"/>
    <cellStyle name="Moneda 10 3 9 2" xfId="6387" xr:uid="{B0DBD764-64AE-4C5B-B003-10893FACBC14}"/>
    <cellStyle name="Moneda 10 3 9 2 2" xfId="13948" xr:uid="{3F501DE9-FCAD-43B6-B54B-59C0F7A0FBDD}"/>
    <cellStyle name="Moneda 10 3 9 3" xfId="7791" xr:uid="{F75A396A-8A15-4688-98E8-F0217F01DCB8}"/>
    <cellStyle name="Moneda 10 3 9 3 2" xfId="15320" xr:uid="{7A3BDC23-3D3E-4084-8BBD-0BE365407DC3}"/>
    <cellStyle name="Moneda 10 3 9 4" xfId="10965" xr:uid="{CD45A880-6655-428C-AA6C-51562F042A25}"/>
    <cellStyle name="Moneda 10 4" xfId="1820" xr:uid="{C97FF5A7-C41D-4ACA-88EF-A7943671FB7A}"/>
    <cellStyle name="Moneda 10 4 2" xfId="2457" xr:uid="{9B33B0E8-5D5B-48D3-AEE8-A3588632C757}"/>
    <cellStyle name="Moneda 10 4 2 2" xfId="6590" xr:uid="{12BFE2CB-28A8-4344-97F0-F4C8F7019CD1}"/>
    <cellStyle name="Moneda 10 4 2 2 2" xfId="14143" xr:uid="{D8B09EE0-E6F3-4077-8273-FB74C8F39D75}"/>
    <cellStyle name="Moneda 10 4 2 3" xfId="7986" xr:uid="{FC29C656-9ABF-4523-BD84-A05D8C0BE74E}"/>
    <cellStyle name="Moneda 10 4 2 3 2" xfId="15515" xr:uid="{3D15801F-67D0-4031-B446-6C954EFD0ED4}"/>
    <cellStyle name="Moneda 10 4 2 4" xfId="10041" xr:uid="{3FB22119-6749-4A45-A643-53CA8B612877}"/>
    <cellStyle name="Moneda 10 4 3" xfId="4779" xr:uid="{D3F7C146-3993-467A-86D1-CA824533E383}"/>
    <cellStyle name="Moneda 10 4 3 2" xfId="12347" xr:uid="{9B8950C3-6CA4-4543-8C58-8345ECDDA268}"/>
    <cellStyle name="Moneda 10 4 4" xfId="5463" xr:uid="{1B94FDD6-D503-45BC-9322-312C6979CEEF}"/>
    <cellStyle name="Moneda 10 4 4 2" xfId="13024" xr:uid="{095BA65F-08FF-4ADA-9FB7-545B2D5AA2BE}"/>
    <cellStyle name="Moneda 10 4 5" xfId="6867" xr:uid="{4F29F13D-60FB-4C12-AD67-D658F9E05E36}"/>
    <cellStyle name="Moneda 10 4 5 2" xfId="14396" xr:uid="{DFAA70EE-84B2-4AB5-BDF4-6A02C61EC18E}"/>
    <cellStyle name="Moneda 10 4 6" xfId="9427" xr:uid="{2E9F7003-21AF-4999-A00A-F2D5343A4040}"/>
    <cellStyle name="Moneda 10 5" xfId="2579" xr:uid="{2A71E520-4920-4EAE-B8F2-37745330840C}"/>
    <cellStyle name="Moneda 10 5 2" xfId="5584" xr:uid="{63A4C375-F16B-4878-9719-B053A8790AD6}"/>
    <cellStyle name="Moneda 10 5 2 2" xfId="13145" xr:uid="{93D45AD6-0048-4E56-9D9C-0876517DD30A}"/>
    <cellStyle name="Moneda 10 5 3" xfId="6988" xr:uid="{28A2162A-EE8F-4B19-AD7C-BD613D5F515D}"/>
    <cellStyle name="Moneda 10 5 3 2" xfId="14517" xr:uid="{CF6B47B2-7C7C-4E03-A3AF-5E484B0349E1}"/>
    <cellStyle name="Moneda 10 5 4" xfId="10162" xr:uid="{8D302CBE-781D-407C-AE07-910600D41C04}"/>
    <cellStyle name="Moneda 10 6" xfId="2701" xr:uid="{31007B2D-EF48-4C74-BA89-E1F16E8BE8FF}"/>
    <cellStyle name="Moneda 10 6 2" xfId="5706" xr:uid="{EBE37326-B711-4866-8698-75667CF6A7B1}"/>
    <cellStyle name="Moneda 10 6 2 2" xfId="13267" xr:uid="{BB5BF11E-5BB8-4852-B3F1-2FBF753B0334}"/>
    <cellStyle name="Moneda 10 6 3" xfId="7110" xr:uid="{7424FB75-A09B-4DA9-8D86-AF271C6DD563}"/>
    <cellStyle name="Moneda 10 6 3 2" xfId="14639" xr:uid="{ED451582-36A2-4EF5-9C76-1BEBCF4FB15E}"/>
    <cellStyle name="Moneda 10 6 4" xfId="10284" xr:uid="{35CFE033-6723-4FE3-9B0B-F3B6CF1869B8}"/>
    <cellStyle name="Moneda 10 7" xfId="2826" xr:uid="{B49EED90-8041-460B-A80B-B13884859FC7}"/>
    <cellStyle name="Moneda 10 7 2" xfId="5830" xr:uid="{3A787056-667C-4A9E-8898-979E9546528A}"/>
    <cellStyle name="Moneda 10 7 2 2" xfId="13391" xr:uid="{41508E3F-D380-4318-A5C9-C8703E4D3FF0}"/>
    <cellStyle name="Moneda 10 7 3" xfId="7234" xr:uid="{83EF95D1-DE2B-4EAF-A3D5-D87A2B970CD3}"/>
    <cellStyle name="Moneda 10 7 3 2" xfId="14763" xr:uid="{1D7D2B8B-B980-40D5-9903-9FC94B1ED449}"/>
    <cellStyle name="Moneda 10 7 4" xfId="10408" xr:uid="{8BFEFCD0-F799-4B02-85E2-5B0C852365EE}"/>
    <cellStyle name="Moneda 10 8" xfId="2950" xr:uid="{9C0FD1E7-10D5-4979-8596-1B51BCC9DE0D}"/>
    <cellStyle name="Moneda 10 8 2" xfId="5954" xr:uid="{5A3FE708-573A-4555-BF53-C77F53DB025D}"/>
    <cellStyle name="Moneda 10 8 2 2" xfId="13515" xr:uid="{777C3D83-0C84-429E-B9CC-C87D7E632E0B}"/>
    <cellStyle name="Moneda 10 8 3" xfId="7358" xr:uid="{DBF51880-34C3-4C1C-8B52-414D0149FB51}"/>
    <cellStyle name="Moneda 10 8 3 2" xfId="14887" xr:uid="{F2719A77-C5A4-40A8-AA66-D739FF087416}"/>
    <cellStyle name="Moneda 10 8 4" xfId="10532" xr:uid="{78A4AB9F-47B5-4B7C-94EC-DAB0A21E8A20}"/>
    <cellStyle name="Moneda 10 9" xfId="3074" xr:uid="{25DD01BF-0385-4F81-B545-A2ADF50E1AD7}"/>
    <cellStyle name="Moneda 10 9 2" xfId="6078" xr:uid="{753901E2-4BE1-41BC-8793-30201FC418C9}"/>
    <cellStyle name="Moneda 10 9 2 2" xfId="13639" xr:uid="{3687B921-948D-41C5-B253-8071AD8DDA86}"/>
    <cellStyle name="Moneda 10 9 3" xfId="7482" xr:uid="{4A1C2346-C9C6-4732-A21D-FD2542E4373F}"/>
    <cellStyle name="Moneda 10 9 3 2" xfId="15011" xr:uid="{FDBCAFF9-4785-4DB2-B8A4-5340047DA211}"/>
    <cellStyle name="Moneda 10 9 4" xfId="10656" xr:uid="{74C0DD76-77AB-42BC-987A-DBB347A02A76}"/>
    <cellStyle name="Moneda 100" xfId="484" xr:uid="{44FB14C4-AC5B-4F7E-A8C2-E28B55DBFEBE}"/>
    <cellStyle name="Moneda 100 2" xfId="1257" xr:uid="{B7746709-0248-4890-AEB6-505B2E013B1E}"/>
    <cellStyle name="Moneda 100 2 2" xfId="4217" xr:uid="{8D73835B-314C-4C9F-8F0F-59BA2F3D95B4}"/>
    <cellStyle name="Moneda 100 2 2 2" xfId="11785" xr:uid="{409F98D5-021B-4C45-9D17-4DE53540120B}"/>
    <cellStyle name="Moneda 100 2 3" xfId="8865" xr:uid="{D7B4DDA7-8225-4532-BD6B-452AAFB1828A}"/>
    <cellStyle name="Moneda 100 3" xfId="1621" xr:uid="{4EFF7D08-5C00-498D-BD19-9383B30726E6}"/>
    <cellStyle name="Moneda 100 3 2" xfId="4581" xr:uid="{92FC68D8-6A78-4497-B7A3-0EC0CA97B58D}"/>
    <cellStyle name="Moneda 100 3 2 2" xfId="12149" xr:uid="{73019A20-D03C-46EA-B00D-8133FCAA75D5}"/>
    <cellStyle name="Moneda 100 3 3" xfId="9229" xr:uid="{CCC43AC7-D17D-41F4-9D57-F173C7B49B6A}"/>
    <cellStyle name="Moneda 100 4" xfId="2000" xr:uid="{ABFB9031-7244-4634-A377-8FA3E5ABC5E5}"/>
    <cellStyle name="Moneda 100 4 2" xfId="4959" xr:uid="{6866CD25-FA80-4394-B10F-71F5F6335705}"/>
    <cellStyle name="Moneda 100 4 2 2" xfId="12527" xr:uid="{37712EF6-3CCD-4DC7-895C-7771E05BB381}"/>
    <cellStyle name="Moneda 100 4 3" xfId="9607" xr:uid="{B8A1ADA7-1CAD-46E5-BA7A-14C515B2254C}"/>
    <cellStyle name="Moneda 100 5" xfId="3686" xr:uid="{65D2C955-674F-4E3C-9C08-17FBDE12617C}"/>
    <cellStyle name="Moneda 100 5 2" xfId="11254" xr:uid="{068C2B4D-EB3F-47C8-9A8B-4D03F6A4749A}"/>
    <cellStyle name="Moneda 100 6" xfId="8334" xr:uid="{E5212509-FAB2-4CAB-9A75-DCCF6D918155}"/>
    <cellStyle name="Moneda 101" xfId="487" xr:uid="{31CFCBD0-0F4A-44DB-89CB-4AA9C35CE41C}"/>
    <cellStyle name="Moneda 101 2" xfId="1259" xr:uid="{A70B048A-CA39-4821-B7F7-F6BD70811B27}"/>
    <cellStyle name="Moneda 101 2 2" xfId="4219" xr:uid="{4A52B804-400E-4507-B9C8-4107D1654CC6}"/>
    <cellStyle name="Moneda 101 2 2 2" xfId="11787" xr:uid="{BB59160E-D654-4734-BF40-370D3303BAE7}"/>
    <cellStyle name="Moneda 101 2 3" xfId="8867" xr:uid="{1897F16F-18D3-4798-8DB4-4E221BF28F08}"/>
    <cellStyle name="Moneda 101 3" xfId="1623" xr:uid="{8D6C3BD8-4757-45B5-87D6-A23D88F4EE45}"/>
    <cellStyle name="Moneda 101 3 2" xfId="4583" xr:uid="{F2A93E95-5FC4-4E14-920F-9678629F83AE}"/>
    <cellStyle name="Moneda 101 3 2 2" xfId="12151" xr:uid="{55EA978B-5B6B-4AA9-BB49-7A78309E5FED}"/>
    <cellStyle name="Moneda 101 3 3" xfId="9231" xr:uid="{56FDE3AE-8C0E-4461-91FD-64A881121644}"/>
    <cellStyle name="Moneda 101 4" xfId="2002" xr:uid="{38D2115B-876B-48D1-99C2-3046D134BF5D}"/>
    <cellStyle name="Moneda 101 4 2" xfId="4961" xr:uid="{2E9C74C3-A031-4457-82C4-1E22CD2A0D41}"/>
    <cellStyle name="Moneda 101 4 2 2" xfId="12529" xr:uid="{95EE5C81-2F87-4988-8C99-7412B846FB32}"/>
    <cellStyle name="Moneda 101 4 3" xfId="9609" xr:uid="{63D41B99-A1D2-4651-8359-571F720F0320}"/>
    <cellStyle name="Moneda 101 5" xfId="3688" xr:uid="{F78F9314-B67C-4BE5-B9E8-1CABD9572E10}"/>
    <cellStyle name="Moneda 101 5 2" xfId="11256" xr:uid="{06B8FE83-20A3-403F-BD6C-CE186744586F}"/>
    <cellStyle name="Moneda 101 6" xfId="8336" xr:uid="{A56AFADA-2692-4286-A296-E412746CE349}"/>
    <cellStyle name="Moneda 102" xfId="490" xr:uid="{FA5A3621-3DC5-4138-A24B-F8E9AA55084C}"/>
    <cellStyle name="Moneda 102 2" xfId="1261" xr:uid="{A6EC9465-EEC5-46ED-9FC5-25E3635BD989}"/>
    <cellStyle name="Moneda 102 2 2" xfId="4221" xr:uid="{AC124A47-AEC8-419A-907A-0A5BE56B72C7}"/>
    <cellStyle name="Moneda 102 2 2 2" xfId="11789" xr:uid="{61EC11F8-4970-4072-BE89-CB5CE7088CF8}"/>
    <cellStyle name="Moneda 102 2 3" xfId="8869" xr:uid="{25B6D4E8-8AB6-43B1-A303-3B97954E6EA9}"/>
    <cellStyle name="Moneda 102 3" xfId="1625" xr:uid="{2C78E398-E4BB-499A-9535-46F8BCD8E39F}"/>
    <cellStyle name="Moneda 102 3 2" xfId="4585" xr:uid="{4ACE3124-119A-411B-B0DC-77F137F1B1BD}"/>
    <cellStyle name="Moneda 102 3 2 2" xfId="12153" xr:uid="{16D49D4B-FA86-40C9-87C3-5156963A857C}"/>
    <cellStyle name="Moneda 102 3 3" xfId="9233" xr:uid="{32EE99EA-4872-4875-9AB2-5DF91D6D9095}"/>
    <cellStyle name="Moneda 102 4" xfId="2004" xr:uid="{FB279C1E-C126-4F6A-9FA3-3906FF48101A}"/>
    <cellStyle name="Moneda 102 4 2" xfId="4963" xr:uid="{91FFAEFF-52A3-4582-AABB-6E5EAD4B032F}"/>
    <cellStyle name="Moneda 102 4 2 2" xfId="12531" xr:uid="{5078D4D0-9FD7-4D9D-A549-C8B575E657D0}"/>
    <cellStyle name="Moneda 102 4 3" xfId="9611" xr:uid="{D4FDD8F3-287E-431E-9777-48F95FCAFB17}"/>
    <cellStyle name="Moneda 102 5" xfId="3690" xr:uid="{B7539DAF-26BC-4054-8575-7FA4A62A22B2}"/>
    <cellStyle name="Moneda 102 5 2" xfId="11258" xr:uid="{3020222B-FE3F-46CF-9651-8D34908B0696}"/>
    <cellStyle name="Moneda 102 6" xfId="8338" xr:uid="{327156EB-6231-40C6-9C74-6AC5AE0ECFF2}"/>
    <cellStyle name="Moneda 103" xfId="493" xr:uid="{7DC81385-E559-4673-9A77-FF6EEEE7893C}"/>
    <cellStyle name="Moneda 103 2" xfId="1263" xr:uid="{2CF71CDD-D37A-4BCD-970D-40BEC947802E}"/>
    <cellStyle name="Moneda 103 2 2" xfId="4223" xr:uid="{1BAC113A-EE4D-4A82-BB28-9124C8D020B7}"/>
    <cellStyle name="Moneda 103 2 2 2" xfId="11791" xr:uid="{853C4ECB-3421-4A30-BBBE-D1BE0D8AE135}"/>
    <cellStyle name="Moneda 103 2 3" xfId="8871" xr:uid="{0FDC4C25-181C-47D5-B7E0-350AD551BB6B}"/>
    <cellStyle name="Moneda 103 3" xfId="1627" xr:uid="{1B163E25-074B-46AC-BE70-8E1B4B44D1B1}"/>
    <cellStyle name="Moneda 103 3 2" xfId="4587" xr:uid="{74305575-5987-4F56-A4FE-3EB66D6A5183}"/>
    <cellStyle name="Moneda 103 3 2 2" xfId="12155" xr:uid="{875FB2E8-B759-490E-8F79-72AC7F9BF7CD}"/>
    <cellStyle name="Moneda 103 3 3" xfId="9235" xr:uid="{74752291-942A-4B3C-9925-93BAEE705450}"/>
    <cellStyle name="Moneda 103 4" xfId="2006" xr:uid="{FE72B3B8-BF6B-407A-8ED5-742B6BEE29E6}"/>
    <cellStyle name="Moneda 103 4 2" xfId="4965" xr:uid="{B179C8B9-C27A-47EE-800E-8DBA68C57EFA}"/>
    <cellStyle name="Moneda 103 4 2 2" xfId="12533" xr:uid="{5A686D44-885A-4052-9A67-4AF82552F94A}"/>
    <cellStyle name="Moneda 103 4 3" xfId="9613" xr:uid="{CDC4C2FA-5EBD-4FB9-94D1-22434FECDB83}"/>
    <cellStyle name="Moneda 103 5" xfId="3692" xr:uid="{2B3A3F72-BE04-4546-BDE1-A34756A34998}"/>
    <cellStyle name="Moneda 103 5 2" xfId="11260" xr:uid="{700A9CAD-0526-4473-915F-B34EBAD791B6}"/>
    <cellStyle name="Moneda 103 6" xfId="8340" xr:uid="{565CE4E0-1196-4A14-A132-D75E086C045E}"/>
    <cellStyle name="Moneda 104" xfId="496" xr:uid="{0FB85057-D690-4610-8A3E-74CF32CA8D12}"/>
    <cellStyle name="Moneda 104 2" xfId="1265" xr:uid="{540509E6-394E-4EAD-A8CF-89A13AA106DE}"/>
    <cellStyle name="Moneda 104 2 2" xfId="4225" xr:uid="{589EA58D-5B61-4CDB-8083-024194409E31}"/>
    <cellStyle name="Moneda 104 2 2 2" xfId="11793" xr:uid="{89BACA78-B167-4446-8549-1464F29C9B2D}"/>
    <cellStyle name="Moneda 104 2 3" xfId="8873" xr:uid="{0D879347-DA00-406C-9EA7-BBB553E230A9}"/>
    <cellStyle name="Moneda 104 3" xfId="1629" xr:uid="{C18F5B1F-D8D6-48EF-B955-98CBD21A1C04}"/>
    <cellStyle name="Moneda 104 3 2" xfId="4589" xr:uid="{A484F1C8-CACA-445E-98F5-31FC414B3A1B}"/>
    <cellStyle name="Moneda 104 3 2 2" xfId="12157" xr:uid="{3984893F-A12E-4ED5-9E01-10451367D5EA}"/>
    <cellStyle name="Moneda 104 3 3" xfId="9237" xr:uid="{484C0369-1332-4FC2-9B6C-EFF9A307C657}"/>
    <cellStyle name="Moneda 104 4" xfId="2008" xr:uid="{66864FA3-FA46-455B-8AC7-DB373FFCDCE0}"/>
    <cellStyle name="Moneda 104 4 2" xfId="4967" xr:uid="{6517D5B6-3F07-41DA-9F2A-B523DF8D224D}"/>
    <cellStyle name="Moneda 104 4 2 2" xfId="12535" xr:uid="{4F123094-2CD9-41D6-87AC-800A947E2B1E}"/>
    <cellStyle name="Moneda 104 4 3" xfId="9615" xr:uid="{542C596B-BEFD-4B19-9CC6-49CAEEEC7356}"/>
    <cellStyle name="Moneda 104 5" xfId="3694" xr:uid="{07723860-E472-45F7-A4E8-E4BB561DAADC}"/>
    <cellStyle name="Moneda 104 5 2" xfId="11262" xr:uid="{719FA5E7-1E59-42A8-AFC2-F9DEB3DE020C}"/>
    <cellStyle name="Moneda 104 6" xfId="8342" xr:uid="{A338EEDB-EA77-4D04-B7B3-75CC46803EAD}"/>
    <cellStyle name="Moneda 105" xfId="499" xr:uid="{85269A24-33A0-42E0-B27F-4E6DAEB77C57}"/>
    <cellStyle name="Moneda 105 2" xfId="1267" xr:uid="{6B507DCD-8BBE-47A8-8D89-51B89B26FB95}"/>
    <cellStyle name="Moneda 105 2 2" xfId="4227" xr:uid="{C514C941-EF79-44D3-A40C-7AFF0861854A}"/>
    <cellStyle name="Moneda 105 2 2 2" xfId="11795" xr:uid="{55C83BB1-90DE-495A-A97C-C752A0135ECA}"/>
    <cellStyle name="Moneda 105 2 3" xfId="8875" xr:uid="{9B68BC3B-490E-4D5F-A44B-2AD27C85CA8F}"/>
    <cellStyle name="Moneda 105 3" xfId="1631" xr:uid="{F49256D2-FA83-4971-B310-EA58A93C5C5D}"/>
    <cellStyle name="Moneda 105 3 2" xfId="4591" xr:uid="{73210B13-E0D4-4FD7-84D9-28F803925A52}"/>
    <cellStyle name="Moneda 105 3 2 2" xfId="12159" xr:uid="{B6600F1A-A3F6-4BAF-B1A4-A922D47C4934}"/>
    <cellStyle name="Moneda 105 3 3" xfId="9239" xr:uid="{3978F4E4-3B79-48D5-A7DC-E2416032CD41}"/>
    <cellStyle name="Moneda 105 4" xfId="2010" xr:uid="{AEFA1C9A-B5C2-497E-BEDC-DFCB1676FA8A}"/>
    <cellStyle name="Moneda 105 4 2" xfId="4969" xr:uid="{60055B6A-8EF2-438B-A06A-9A04EBF76AA9}"/>
    <cellStyle name="Moneda 105 4 2 2" xfId="12537" xr:uid="{DA492939-F0B4-4CB2-881C-8ED0EAAF25D0}"/>
    <cellStyle name="Moneda 105 4 3" xfId="9617" xr:uid="{302095DA-EE0C-47DE-BE09-D2C819D09E58}"/>
    <cellStyle name="Moneda 105 5" xfId="3696" xr:uid="{954932E3-4781-4138-8E7E-D95427D2017D}"/>
    <cellStyle name="Moneda 105 5 2" xfId="11264" xr:uid="{CE4EC280-3CB5-4434-9221-1AD3F039BBC2}"/>
    <cellStyle name="Moneda 105 6" xfId="8344" xr:uid="{1484D6B4-DB9B-4396-8D51-FF8C0333178D}"/>
    <cellStyle name="Moneda 106" xfId="502" xr:uid="{90A6CBB2-5BAE-439A-866A-2E3202E042FD}"/>
    <cellStyle name="Moneda 106 2" xfId="1269" xr:uid="{3A4816D7-26F9-4A9B-B3EE-BAB17C89356D}"/>
    <cellStyle name="Moneda 106 2 2" xfId="4229" xr:uid="{895FFB8D-9434-4C58-A9C3-31283D161ED6}"/>
    <cellStyle name="Moneda 106 2 2 2" xfId="11797" xr:uid="{ED6B4435-9B0D-4EF6-9AC4-487311A81655}"/>
    <cellStyle name="Moneda 106 2 3" xfId="8877" xr:uid="{254858C1-9B22-4629-B332-66E976E89030}"/>
    <cellStyle name="Moneda 106 3" xfId="1633" xr:uid="{4A3CD5E8-B61D-4CCA-A6C0-E5A5FA6BA59D}"/>
    <cellStyle name="Moneda 106 3 2" xfId="4593" xr:uid="{731635D3-3041-4B90-B75F-E97CFF510360}"/>
    <cellStyle name="Moneda 106 3 2 2" xfId="12161" xr:uid="{03278659-D05B-449A-9DB3-439E0E14674D}"/>
    <cellStyle name="Moneda 106 3 3" xfId="9241" xr:uid="{0A5E71D6-C78C-482C-9F80-E125BFBC2352}"/>
    <cellStyle name="Moneda 106 4" xfId="2012" xr:uid="{EF8DCCD9-BB04-46E2-BC9D-922F782A3705}"/>
    <cellStyle name="Moneda 106 4 2" xfId="4971" xr:uid="{9B953642-DDC1-4D4F-85D7-699BF7514837}"/>
    <cellStyle name="Moneda 106 4 2 2" xfId="12539" xr:uid="{F214CE78-CC50-4448-ABDC-E65EB7ECEDDC}"/>
    <cellStyle name="Moneda 106 4 3" xfId="9619" xr:uid="{534F4BD4-7E19-49C0-A03D-9A4A52186B90}"/>
    <cellStyle name="Moneda 106 5" xfId="3698" xr:uid="{76ACD645-FA65-4753-BAF2-E59BDCED532C}"/>
    <cellStyle name="Moneda 106 5 2" xfId="11266" xr:uid="{4DDDF266-6297-4B61-AEAB-E827AE555CF0}"/>
    <cellStyle name="Moneda 106 6" xfId="8346" xr:uid="{A3164B9C-6B3D-4D62-9245-A2884A9BE6BF}"/>
    <cellStyle name="Moneda 107" xfId="505" xr:uid="{DA88CC97-B110-4901-B769-D71569B3B276}"/>
    <cellStyle name="Moneda 107 2" xfId="1271" xr:uid="{CDE227AC-0644-4874-A2C8-50480642284C}"/>
    <cellStyle name="Moneda 107 2 2" xfId="4231" xr:uid="{C2C9787F-50A7-4948-A9DA-6B4F45C7D9C5}"/>
    <cellStyle name="Moneda 107 2 2 2" xfId="11799" xr:uid="{EE445D08-9F2A-4150-B908-760F9E1ECE79}"/>
    <cellStyle name="Moneda 107 2 3" xfId="8879" xr:uid="{1B9DF5D3-DEED-42C1-853D-F1ADBE81E632}"/>
    <cellStyle name="Moneda 107 3" xfId="1635" xr:uid="{B1221C3E-E2FF-479B-823A-83298807590E}"/>
    <cellStyle name="Moneda 107 3 2" xfId="4595" xr:uid="{57BA4DFA-C7CD-4916-A8EB-1AF15D32387D}"/>
    <cellStyle name="Moneda 107 3 2 2" xfId="12163" xr:uid="{08BDE63E-BD44-468B-8218-62174077F67C}"/>
    <cellStyle name="Moneda 107 3 3" xfId="9243" xr:uid="{80978DC6-AA4F-44A5-8D88-1E61E03B6486}"/>
    <cellStyle name="Moneda 107 4" xfId="2014" xr:uid="{A2ADC218-BB04-4825-A7D1-2965A14EBD08}"/>
    <cellStyle name="Moneda 107 4 2" xfId="4973" xr:uid="{F825F3F0-E240-440E-AF86-F78AF894F1BA}"/>
    <cellStyle name="Moneda 107 4 2 2" xfId="12541" xr:uid="{A0E19538-EAC1-4503-94E7-808F9E456E83}"/>
    <cellStyle name="Moneda 107 4 3" xfId="9621" xr:uid="{D14691A3-9F4C-4BA4-B13A-CF1CC2415761}"/>
    <cellStyle name="Moneda 107 5" xfId="3700" xr:uid="{E44EC0B2-8C6A-447D-B68C-1522D8D9D105}"/>
    <cellStyle name="Moneda 107 5 2" xfId="11268" xr:uid="{9780FF0D-5E44-42E0-AA0D-DCB308AF2DC2}"/>
    <cellStyle name="Moneda 107 6" xfId="8348" xr:uid="{5B5A7CBC-F20B-438B-BB7A-ED4EC8A66282}"/>
    <cellStyle name="Moneda 108" xfId="189" xr:uid="{9E7FE922-2E58-4394-826A-3DEAD4B7D13B}"/>
    <cellStyle name="Moneda 108 2" xfId="508" xr:uid="{957D0F7E-130A-4EFD-AE10-A2B4D4EF64BF}"/>
    <cellStyle name="Moneda 108 2 2" xfId="3702" xr:uid="{89A410F3-A50C-4224-B047-789636F3A09E}"/>
    <cellStyle name="Moneda 108 2 2 2" xfId="11270" xr:uid="{2BB9A089-9050-4B2D-B5E7-913D4B367537}"/>
    <cellStyle name="Moneda 108 2 3" xfId="8350" xr:uid="{22D6625C-C6B2-4E14-B7E1-76ACBD69BAF2}"/>
    <cellStyle name="Moneda 108 3" xfId="1273" xr:uid="{ED0A6A4A-A402-42EC-BCFA-0F76843660E0}"/>
    <cellStyle name="Moneda 108 3 2" xfId="4233" xr:uid="{28B2BA83-7CC5-4BBC-800C-82301BED613A}"/>
    <cellStyle name="Moneda 108 3 2 2" xfId="11801" xr:uid="{0666D654-3F63-40F7-8EC7-838F6791AC22}"/>
    <cellStyle name="Moneda 108 3 3" xfId="8881" xr:uid="{14D56391-97E5-4AF4-A09A-1C54B11F2D30}"/>
    <cellStyle name="Moneda 108 4" xfId="1637" xr:uid="{A940DC07-6025-41C5-9115-2AB1F8C41597}"/>
    <cellStyle name="Moneda 108 4 2" xfId="4597" xr:uid="{E5757B66-F274-4219-9981-69FCC0B7105C}"/>
    <cellStyle name="Moneda 108 4 2 2" xfId="12165" xr:uid="{D6B86365-22F6-4ECD-8D8A-A34DF152E9B0}"/>
    <cellStyle name="Moneda 108 4 3" xfId="9245" xr:uid="{BBD51186-9CEE-46F6-A064-1AD8F0649B8D}"/>
    <cellStyle name="Moneda 108 5" xfId="2016" xr:uid="{63772ED5-1DBE-4BD8-AF39-02B06306686D}"/>
    <cellStyle name="Moneda 108 5 2" xfId="4975" xr:uid="{F34BBE93-B27B-4855-8941-C2564908A846}"/>
    <cellStyle name="Moneda 108 5 2 2" xfId="12543" xr:uid="{CC1634AA-B8F4-424F-894C-5B2FF391B11E}"/>
    <cellStyle name="Moneda 108 5 3" xfId="9623" xr:uid="{209F32C8-C49C-4F42-B2A5-64C9A1311234}"/>
    <cellStyle name="Moneda 108 6" xfId="3493" xr:uid="{43F7968D-03B8-4401-A1A8-E632A30BC9F3}"/>
    <cellStyle name="Moneda 108 6 2" xfId="11061" xr:uid="{19461A1E-5A43-444B-BDA5-BD1406152FDA}"/>
    <cellStyle name="Moneda 108 7" xfId="8141" xr:uid="{10D39AC4-85A1-4FEF-B9CF-9B3E5A052805}"/>
    <cellStyle name="Moneda 109" xfId="512" xr:uid="{DF026BBC-D185-4352-9123-9FE23C227EC1}"/>
    <cellStyle name="Moneda 109 2" xfId="1275" xr:uid="{37DC15EE-3388-4BAD-A9B4-86897E57F786}"/>
    <cellStyle name="Moneda 109 2 2" xfId="4235" xr:uid="{B6DE2D13-8845-4909-9C60-C66FA473CAC5}"/>
    <cellStyle name="Moneda 109 2 2 2" xfId="11803" xr:uid="{4B3ACB77-B9B6-4689-A438-2A3822769871}"/>
    <cellStyle name="Moneda 109 2 3" xfId="8883" xr:uid="{0D5651AC-37F7-48EF-A710-1A1BE4FCCCEF}"/>
    <cellStyle name="Moneda 109 3" xfId="1639" xr:uid="{00B50498-1920-42B4-9FE2-9EF8C0812361}"/>
    <cellStyle name="Moneda 109 3 2" xfId="4599" xr:uid="{0A5E8139-3231-4FEE-870E-5CBCD1AD02A5}"/>
    <cellStyle name="Moneda 109 3 2 2" xfId="12167" xr:uid="{8AD8B654-84FD-4626-ADDD-B74035FB82C6}"/>
    <cellStyle name="Moneda 109 3 3" xfId="9247" xr:uid="{06C45DB9-7CD7-42B5-8378-4575555C0470}"/>
    <cellStyle name="Moneda 109 4" xfId="2018" xr:uid="{002C15E4-3C86-48D1-9E5C-5EA35410A249}"/>
    <cellStyle name="Moneda 109 4 2" xfId="4977" xr:uid="{CD5067CB-1FDC-418C-B7B9-46D716908CE5}"/>
    <cellStyle name="Moneda 109 4 2 2" xfId="12545" xr:uid="{52D71E89-FEAB-414E-B1BA-A37172230BC9}"/>
    <cellStyle name="Moneda 109 4 3" xfId="9625" xr:uid="{21F8D216-379B-409F-BE18-843EE00B8687}"/>
    <cellStyle name="Moneda 109 5" xfId="3704" xr:uid="{3DE31DE4-9430-4233-9BD9-44CC85CBD432}"/>
    <cellStyle name="Moneda 109 5 2" xfId="11272" xr:uid="{9B7229D1-3765-4463-9C85-3DF1043FE0D6}"/>
    <cellStyle name="Moneda 109 6" xfId="8352" xr:uid="{EC199E04-5BCF-4275-BA94-D5EB84EB8168}"/>
    <cellStyle name="Moneda 11" xfId="41" xr:uid="{00000000-0005-0000-0000-000050000000}"/>
    <cellStyle name="Moneda 11 10" xfId="3200" xr:uid="{B60D30FB-2415-4E35-80F8-936A7BA96867}"/>
    <cellStyle name="Moneda 11 10 2" xfId="6204" xr:uid="{DFD991FD-CED3-4396-88F6-2D86EB23FCB0}"/>
    <cellStyle name="Moneda 11 10 2 2" xfId="13765" xr:uid="{9E330252-FD6A-4415-9876-FC52D4F3953A}"/>
    <cellStyle name="Moneda 11 10 3" xfId="7608" xr:uid="{D93525F8-FDEF-4A16-808E-CD64A3741FE9}"/>
    <cellStyle name="Moneda 11 10 3 2" xfId="15137" xr:uid="{116F486F-4F64-454C-A816-307E45B900B2}"/>
    <cellStyle name="Moneda 11 10 4" xfId="10782" xr:uid="{85C9FD65-EC23-4C4C-BB79-1318DE713213}"/>
    <cellStyle name="Moneda 11 11" xfId="3328" xr:uid="{1409D7C5-6ACC-4311-9E90-E1A69BA0F755}"/>
    <cellStyle name="Moneda 11 11 2" xfId="6330" xr:uid="{2FFE8825-5D62-4BC0-ABD9-EEE23C7DB9CC}"/>
    <cellStyle name="Moneda 11 11 2 2" xfId="13891" xr:uid="{C674457E-5785-4E90-9DC4-917EB51EE2FA}"/>
    <cellStyle name="Moneda 11 11 3" xfId="7734" xr:uid="{F3948CD4-7323-48A2-BA63-2FB985E9B68F}"/>
    <cellStyle name="Moneda 11 11 3 2" xfId="15263" xr:uid="{C110A106-BA29-47AD-98E4-1E6066780B3C}"/>
    <cellStyle name="Moneda 11 11 4" xfId="10908" xr:uid="{034EED39-518D-4CF2-B09E-EE282290DA85}"/>
    <cellStyle name="Moneda 11 12" xfId="2324" xr:uid="{2F241A00-371F-4465-A429-4082E33C193B}"/>
    <cellStyle name="Moneda 11 12 2" xfId="6466" xr:uid="{6C67ADCF-B2E2-409A-97A3-28431BB0B203}"/>
    <cellStyle name="Moneda 11 12 2 2" xfId="14022" xr:uid="{5795D499-A65E-4A2A-A8CE-4DD44182AB3D}"/>
    <cellStyle name="Moneda 11 12 3" xfId="7865" xr:uid="{32C7CE93-FFAB-4D09-B2AB-0CA9D89C109D}"/>
    <cellStyle name="Moneda 11 12 3 2" xfId="15394" xr:uid="{3A655EE7-D30F-4A45-9EDE-F2BC98BAE23B}"/>
    <cellStyle name="Moneda 11 12 4" xfId="9922" xr:uid="{438EC083-4999-4B98-AF08-7C5E86CDCB74}"/>
    <cellStyle name="Moneda 11 13" xfId="3508" xr:uid="{E121EE87-5775-4E29-8ED6-FCBEB7148347}"/>
    <cellStyle name="Moneda 11 13 2" xfId="11076" xr:uid="{C1266482-6D78-4538-9AC3-F4D5D6703F8A}"/>
    <cellStyle name="Moneda 11 14" xfId="5343" xr:uid="{4E55650D-D544-4826-96FB-60DAD67CF4E3}"/>
    <cellStyle name="Moneda 11 14 2" xfId="12904" xr:uid="{CA303429-A9DD-4200-8F44-CDE1CDCC296D}"/>
    <cellStyle name="Moneda 11 15" xfId="6747" xr:uid="{7342165D-B0E0-45E8-8683-31A7D9AFDC54}"/>
    <cellStyle name="Moneda 11 15 2" xfId="14276" xr:uid="{0D323E11-D28D-48ED-9993-2C9971A3EC9C}"/>
    <cellStyle name="Moneda 11 16" xfId="8156" xr:uid="{85D6E9CB-BAFB-4A4C-8216-341AA2713752}"/>
    <cellStyle name="Moneda 11 17" xfId="217" xr:uid="{4A5FABEA-A67A-4538-BB9A-C7953EFFED57}"/>
    <cellStyle name="Moneda 11 2" xfId="1079" xr:uid="{C877A3B3-D709-4AAF-8964-C23D26BD867B}"/>
    <cellStyle name="Moneda 11 2 10" xfId="3357" xr:uid="{A68BDF92-39F9-433C-929A-F92F9EEC7D26}"/>
    <cellStyle name="Moneda 11 2 10 2" xfId="6359" xr:uid="{DDFD5C03-7A20-42E3-BBFC-383949574CE1}"/>
    <cellStyle name="Moneda 11 2 10 2 2" xfId="13920" xr:uid="{CE4A6F99-3204-4636-A35D-93D024FC2C8C}"/>
    <cellStyle name="Moneda 11 2 10 3" xfId="7763" xr:uid="{8B2ED736-50F2-40FD-89C4-2C00AA47A751}"/>
    <cellStyle name="Moneda 11 2 10 3 2" xfId="15292" xr:uid="{80E5883C-A4D6-407B-B0D8-FD4154C7352C}"/>
    <cellStyle name="Moneda 11 2 10 4" xfId="10937" xr:uid="{9B488DF6-853D-4689-A727-159D8591912D}"/>
    <cellStyle name="Moneda 11 2 11" xfId="2359" xr:uid="{CFE552EA-2F88-44A2-BE91-41FF521907EC}"/>
    <cellStyle name="Moneda 11 2 11 2" xfId="6495" xr:uid="{F3969398-ED10-4F6A-87C1-EA6E540A83C6}"/>
    <cellStyle name="Moneda 11 2 11 2 2" xfId="14051" xr:uid="{5BC3ED89-BB27-45BE-B7C7-9A24D6F2D023}"/>
    <cellStyle name="Moneda 11 2 11 3" xfId="7894" xr:uid="{7C736FA3-03F6-410A-893B-85FD09FE8B04}"/>
    <cellStyle name="Moneda 11 2 11 3 2" xfId="15423" xr:uid="{A471397D-2928-4578-8553-2AC653508159}"/>
    <cellStyle name="Moneda 11 2 11 4" xfId="9952" xr:uid="{85710767-1CDD-48E5-B4B7-B6DC9E478A23}"/>
    <cellStyle name="Moneda 11 2 12" xfId="4039" xr:uid="{ADA6FC71-2446-4949-84E8-BCA5C511230D}"/>
    <cellStyle name="Moneda 11 2 12 2" xfId="11607" xr:uid="{19D676F8-BBD1-4B62-BB39-56155FC46854}"/>
    <cellStyle name="Moneda 11 2 13" xfId="5374" xr:uid="{3EFB9436-1AD8-49BB-B13D-9C92DA286D04}"/>
    <cellStyle name="Moneda 11 2 13 2" xfId="12935" xr:uid="{99D7136A-031D-4560-91B8-FEC0895B18F8}"/>
    <cellStyle name="Moneda 11 2 14" xfId="6778" xr:uid="{488CC81A-3522-465B-AEF2-C9A5CED024DD}"/>
    <cellStyle name="Moneda 11 2 14 2" xfId="14307" xr:uid="{519F57F9-EC2A-420F-8CA3-23248247DD9A}"/>
    <cellStyle name="Moneda 11 2 15" xfId="8687" xr:uid="{83DB138A-9269-403E-B77E-5BD5D30E37E2}"/>
    <cellStyle name="Moneda 11 2 2" xfId="2422" xr:uid="{EE93DEBE-07E6-410D-8563-9818F8183DCB}"/>
    <cellStyle name="Moneda 11 2 2 10" xfId="6553" xr:uid="{CACEDDBE-3A9E-41AE-BE29-070486E393BB}"/>
    <cellStyle name="Moneda 11 2 2 10 2" xfId="7952" xr:uid="{2A740B35-D94F-456A-901C-602DAD8FD08A}"/>
    <cellStyle name="Moneda 11 2 2 10 2 2" xfId="15481" xr:uid="{5DA94D9C-245B-43B4-8E42-38668552C881}"/>
    <cellStyle name="Moneda 11 2 2 10 3" xfId="14109" xr:uid="{BE5D6829-937C-41CE-8F61-D4F3B3E8A7BE}"/>
    <cellStyle name="Moneda 11 2 2 11" xfId="5432" xr:uid="{F0196153-406D-49B0-8EED-7656AACB212D}"/>
    <cellStyle name="Moneda 11 2 2 11 2" xfId="12993" xr:uid="{5F6747EC-2485-47A3-B97C-C79211FAB36B}"/>
    <cellStyle name="Moneda 11 2 2 12" xfId="6836" xr:uid="{DACAE3E3-FDFA-4085-98DD-270FD826B460}"/>
    <cellStyle name="Moneda 11 2 2 12 2" xfId="14365" xr:uid="{9C06D311-A878-4D7C-A2AF-FD6C111FA4E6}"/>
    <cellStyle name="Moneda 11 2 2 13" xfId="10010" xr:uid="{24A456C0-AE56-4B86-9F80-7FC7AA29767D}"/>
    <cellStyle name="Moneda 11 2 2 2" xfId="2546" xr:uid="{FEC4D995-617C-4FD3-B9CB-A9B31859A9E8}"/>
    <cellStyle name="Moneda 11 2 2 2 2" xfId="6688" xr:uid="{05FDAF84-D382-4BF4-BF17-039E3C10ACBE}"/>
    <cellStyle name="Moneda 11 2 2 2 2 2" xfId="8074" xr:uid="{3918A3FE-65BE-4053-9FED-53B696EC1874}"/>
    <cellStyle name="Moneda 11 2 2 2 2 2 2" xfId="15603" xr:uid="{A51A4F2B-5D05-411B-AAA3-E8C244684AE4}"/>
    <cellStyle name="Moneda 11 2 2 2 2 3" xfId="14231" xr:uid="{7E769332-4D91-4B8D-BB7A-AD1594BD811B}"/>
    <cellStyle name="Moneda 11 2 2 2 3" xfId="5552" xr:uid="{41B4BB18-5DAD-4905-A57E-BE23B794FA05}"/>
    <cellStyle name="Moneda 11 2 2 2 3 2" xfId="13113" xr:uid="{0EE6A7A2-4FBF-43A0-9D12-6EF0B4CDDD07}"/>
    <cellStyle name="Moneda 11 2 2 2 4" xfId="6956" xr:uid="{189DE0E2-7E32-4BBE-8DBD-1A279ACE19B9}"/>
    <cellStyle name="Moneda 11 2 2 2 4 2" xfId="14485" xr:uid="{EC97F7BC-083D-409C-9B92-B022819C733B}"/>
    <cellStyle name="Moneda 11 2 2 2 5" xfId="10130" xr:uid="{9A5330E2-C51B-4AFB-B0AE-B47EE662048B}"/>
    <cellStyle name="Moneda 11 2 2 3" xfId="2667" xr:uid="{67D62E90-9FF6-4062-B0E9-8A020307DF74}"/>
    <cellStyle name="Moneda 11 2 2 3 2" xfId="5672" xr:uid="{EAA007C5-4CBC-44FB-8BF6-0622388D6450}"/>
    <cellStyle name="Moneda 11 2 2 3 2 2" xfId="13233" xr:uid="{3B1B9C4D-08F0-46E2-A56C-1C7D1B761D40}"/>
    <cellStyle name="Moneda 11 2 2 3 3" xfId="7076" xr:uid="{4FCC9F99-5F57-4554-B813-F88835EA25FA}"/>
    <cellStyle name="Moneda 11 2 2 3 3 2" xfId="14605" xr:uid="{259637ED-9E8E-4F79-A330-E34E4BA2AEA9}"/>
    <cellStyle name="Moneda 11 2 2 3 4" xfId="10250" xr:uid="{D24A98EF-DB49-4D27-B396-69198A72983D}"/>
    <cellStyle name="Moneda 11 2 2 4" xfId="2789" xr:uid="{8639E961-E5ED-43E1-BA3A-717B4C26E5BA}"/>
    <cellStyle name="Moneda 11 2 2 4 2" xfId="5794" xr:uid="{C3A1610E-5D22-4781-9F48-3EEC81870E1A}"/>
    <cellStyle name="Moneda 11 2 2 4 2 2" xfId="13355" xr:uid="{F01C49C2-E97D-4B68-8644-7684D6BC0D9C}"/>
    <cellStyle name="Moneda 11 2 2 4 3" xfId="7198" xr:uid="{92BDCAAA-0DBE-42D3-8F3B-43C6032482EC}"/>
    <cellStyle name="Moneda 11 2 2 4 3 2" xfId="14727" xr:uid="{A403D76F-D299-4873-989F-69B5DA61440B}"/>
    <cellStyle name="Moneda 11 2 2 4 4" xfId="10372" xr:uid="{4F8004AA-DC9E-41DE-A06C-8215DE199D01}"/>
    <cellStyle name="Moneda 11 2 2 5" xfId="2914" xr:uid="{4963ECE2-A426-4AB6-99F2-F2538B851E4F}"/>
    <cellStyle name="Moneda 11 2 2 5 2" xfId="5918" xr:uid="{B4AC1CE9-3178-4BAD-A36A-BB5EE9E865E4}"/>
    <cellStyle name="Moneda 11 2 2 5 2 2" xfId="13479" xr:uid="{158450D5-09AB-44C0-A707-9AE23728FD8D}"/>
    <cellStyle name="Moneda 11 2 2 5 3" xfId="7322" xr:uid="{3423B326-D797-4FD4-884E-757A02611990}"/>
    <cellStyle name="Moneda 11 2 2 5 3 2" xfId="14851" xr:uid="{48823407-160B-4010-8BA3-3F15949402C3}"/>
    <cellStyle name="Moneda 11 2 2 5 4" xfId="10496" xr:uid="{9E0BE760-BC90-40B9-AC19-038DEADFA6DB}"/>
    <cellStyle name="Moneda 11 2 2 6" xfId="3038" xr:uid="{618D4770-EBB8-4DB6-9E51-4CB581E4FCB3}"/>
    <cellStyle name="Moneda 11 2 2 6 2" xfId="6042" xr:uid="{72CB5F9B-3A28-43F3-AED8-4E1723893FD6}"/>
    <cellStyle name="Moneda 11 2 2 6 2 2" xfId="13603" xr:uid="{DA7C56B1-50A2-4BF3-9D28-9028F5813AE8}"/>
    <cellStyle name="Moneda 11 2 2 6 3" xfId="7446" xr:uid="{7312BD7E-9AD8-4F32-BFB3-CF9C55491925}"/>
    <cellStyle name="Moneda 11 2 2 6 3 2" xfId="14975" xr:uid="{AD9B8FC9-8455-4089-A9F9-DB9DDF69D119}"/>
    <cellStyle name="Moneda 11 2 2 6 4" xfId="10620" xr:uid="{EB419814-5BD2-479E-94F1-4F47DFE432C2}"/>
    <cellStyle name="Moneda 11 2 2 7" xfId="3162" xr:uid="{513F61D9-5324-465A-9F4E-F00E916781F0}"/>
    <cellStyle name="Moneda 11 2 2 7 2" xfId="6166" xr:uid="{BCD79BC9-013A-4063-AA80-82697D17BFB5}"/>
    <cellStyle name="Moneda 11 2 2 7 2 2" xfId="13727" xr:uid="{BFFD3283-7C5A-4E12-91EC-1E97DC7C898F}"/>
    <cellStyle name="Moneda 11 2 2 7 3" xfId="7570" xr:uid="{F8BD7748-0340-44C4-BD87-BFF0E3A3CC3B}"/>
    <cellStyle name="Moneda 11 2 2 7 3 2" xfId="15099" xr:uid="{D47BDEDE-18C7-4DB7-A931-A88497A3DF46}"/>
    <cellStyle name="Moneda 11 2 2 7 4" xfId="10744" xr:uid="{7F147CBB-0B75-444C-9707-95F4167C478F}"/>
    <cellStyle name="Moneda 11 2 2 8" xfId="3287" xr:uid="{788A07E6-7800-4C20-8B7B-5F3241DB93A0}"/>
    <cellStyle name="Moneda 11 2 2 8 2" xfId="6291" xr:uid="{617C3841-C643-4470-AD1D-BC32FA965CE2}"/>
    <cellStyle name="Moneda 11 2 2 8 2 2" xfId="13852" xr:uid="{591FBB63-A23B-462B-8E70-CC77640CDDD2}"/>
    <cellStyle name="Moneda 11 2 2 8 3" xfId="7695" xr:uid="{CEEDF1E8-BDD5-42F9-B9F9-9BD9481AD75B}"/>
    <cellStyle name="Moneda 11 2 2 8 3 2" xfId="15224" xr:uid="{A4DFF78C-4B5A-413E-8F4B-82F3B675302E}"/>
    <cellStyle name="Moneda 11 2 2 8 4" xfId="10869" xr:uid="{8E519E8B-A6B1-4DB7-A673-E6DD4FA382B9}"/>
    <cellStyle name="Moneda 11 2 2 9" xfId="3415" xr:uid="{E913C964-18E9-477C-A6EB-87279A91305D}"/>
    <cellStyle name="Moneda 11 2 2 9 2" xfId="6417" xr:uid="{2C92B17B-F840-4D6C-995C-CA3FB1C188DC}"/>
    <cellStyle name="Moneda 11 2 2 9 2 2" xfId="13978" xr:uid="{69B1D755-C64D-4C62-B92C-01C7E798483E}"/>
    <cellStyle name="Moneda 11 2 2 9 3" xfId="7821" xr:uid="{83B08C97-78BB-4EB8-84FB-9337AF37A705}"/>
    <cellStyle name="Moneda 11 2 2 9 3 2" xfId="15350" xr:uid="{D2E4DD6E-022A-4D07-8483-567738B3580E}"/>
    <cellStyle name="Moneda 11 2 2 9 4" xfId="10995" xr:uid="{1462370E-499A-49AA-B3E6-2CB3AC0611BD}"/>
    <cellStyle name="Moneda 11 2 3" xfId="2488" xr:uid="{8C4C1D55-134B-4383-BB06-A6D2BB31BD10}"/>
    <cellStyle name="Moneda 11 2 3 2" xfId="6630" xr:uid="{B0E57F6C-2CBF-450A-9E8C-1B5A8B3967D1}"/>
    <cellStyle name="Moneda 11 2 3 2 2" xfId="8016" xr:uid="{0295EA80-F51F-4585-A398-20DD864307C9}"/>
    <cellStyle name="Moneda 11 2 3 2 2 2" xfId="15545" xr:uid="{F395D157-9FCD-4D98-B1AF-A639A73FB18C}"/>
    <cellStyle name="Moneda 11 2 3 2 3" xfId="14173" xr:uid="{810E1688-1451-4FB2-9371-5A2F33F65860}"/>
    <cellStyle name="Moneda 11 2 3 3" xfId="5494" xr:uid="{6C8415FB-B579-4A99-8742-19732BE5220E}"/>
    <cellStyle name="Moneda 11 2 3 3 2" xfId="13055" xr:uid="{D144503A-D88D-40BC-A790-CC925B3DBB17}"/>
    <cellStyle name="Moneda 11 2 3 4" xfId="6898" xr:uid="{CD9039BB-C035-4CD7-BC8B-B04335A44CEC}"/>
    <cellStyle name="Moneda 11 2 3 4 2" xfId="14427" xr:uid="{B1D3D74D-CD6D-45BA-821A-A166BE54F569}"/>
    <cellStyle name="Moneda 11 2 3 5" xfId="10072" xr:uid="{09C20901-68EF-4F33-A9B3-0723D0499236}"/>
    <cellStyle name="Moneda 11 2 4" xfId="2609" xr:uid="{5189D584-CD4E-4A2D-8BE1-8C1D05056CED}"/>
    <cellStyle name="Moneda 11 2 4 2" xfId="5614" xr:uid="{B23D8DF2-03AD-4F5A-BA7A-19EF82898DCD}"/>
    <cellStyle name="Moneda 11 2 4 2 2" xfId="13175" xr:uid="{68FA575C-95D9-4C77-92E9-380B643B05A9}"/>
    <cellStyle name="Moneda 11 2 4 3" xfId="7018" xr:uid="{98C04880-E33A-4DDF-A66B-D9C9A287BE50}"/>
    <cellStyle name="Moneda 11 2 4 3 2" xfId="14547" xr:uid="{C87102D3-FE66-4469-9817-07E74B69371A}"/>
    <cellStyle name="Moneda 11 2 4 4" xfId="10192" xr:uid="{04EF0E2A-74F7-4DBA-B6DB-06566C58750C}"/>
    <cellStyle name="Moneda 11 2 5" xfId="2731" xr:uid="{1A739903-7137-4A85-8852-AFB7A1A37A1C}"/>
    <cellStyle name="Moneda 11 2 5 2" xfId="5736" xr:uid="{BB492195-6D5B-49A6-AEC5-6778E0015F3E}"/>
    <cellStyle name="Moneda 11 2 5 2 2" xfId="13297" xr:uid="{144AC604-2522-41EE-812A-F2F417BE71D6}"/>
    <cellStyle name="Moneda 11 2 5 3" xfId="7140" xr:uid="{5800452F-74C4-4D32-A3D1-6F4B79F0F972}"/>
    <cellStyle name="Moneda 11 2 5 3 2" xfId="14669" xr:uid="{5FA79DE2-B8AF-4440-ADE9-E11BBDC948E5}"/>
    <cellStyle name="Moneda 11 2 5 4" xfId="10314" xr:uid="{5BCBEADC-D1AC-4403-BB10-07E296B1B9CF}"/>
    <cellStyle name="Moneda 11 2 6" xfId="2856" xr:uid="{A0A3C317-B94B-4D0E-A3C8-ED7D226A6EA2}"/>
    <cellStyle name="Moneda 11 2 6 2" xfId="5860" xr:uid="{02693613-90E5-4CD2-A34A-4C5EBB51A3D9}"/>
    <cellStyle name="Moneda 11 2 6 2 2" xfId="13421" xr:uid="{B90A31FD-7056-4862-8B63-893B1DF926D3}"/>
    <cellStyle name="Moneda 11 2 6 3" xfId="7264" xr:uid="{F9391971-4018-45B3-86E2-96FE501B1E19}"/>
    <cellStyle name="Moneda 11 2 6 3 2" xfId="14793" xr:uid="{A9BFCA6B-DE96-4F6F-A933-7A954FE281B9}"/>
    <cellStyle name="Moneda 11 2 6 4" xfId="10438" xr:uid="{A4401644-243A-4923-BAA2-E16F5D362E3F}"/>
    <cellStyle name="Moneda 11 2 7" xfId="2980" xr:uid="{C6FCE970-96FB-4CC7-8685-A293557C9B3D}"/>
    <cellStyle name="Moneda 11 2 7 2" xfId="5984" xr:uid="{C7DE6F15-84AD-4B3D-9C9F-FA3DDD341B5A}"/>
    <cellStyle name="Moneda 11 2 7 2 2" xfId="13545" xr:uid="{F16A9680-47BA-49A2-A586-BB003F1BF96C}"/>
    <cellStyle name="Moneda 11 2 7 3" xfId="7388" xr:uid="{C914F191-B20F-493D-A117-F3C3FE8FF608}"/>
    <cellStyle name="Moneda 11 2 7 3 2" xfId="14917" xr:uid="{2C4D2759-94BB-43D4-8DF2-2A10E3CEFA4A}"/>
    <cellStyle name="Moneda 11 2 7 4" xfId="10562" xr:uid="{F07C1F04-0C43-4DBC-8DB2-E73C57A81467}"/>
    <cellStyle name="Moneda 11 2 8" xfId="3104" xr:uid="{D448A89E-4B06-4519-BC1C-6E0CA7AA8AB4}"/>
    <cellStyle name="Moneda 11 2 8 2" xfId="6108" xr:uid="{2ED198A1-A71C-450C-9040-11207ED9B394}"/>
    <cellStyle name="Moneda 11 2 8 2 2" xfId="13669" xr:uid="{8A4FA4AD-356D-4A40-BF2E-BEAB7F90B5F8}"/>
    <cellStyle name="Moneda 11 2 8 3" xfId="7512" xr:uid="{C7C20F71-6326-4D70-8DD2-ACDE8A69FC1E}"/>
    <cellStyle name="Moneda 11 2 8 3 2" xfId="15041" xr:uid="{20F497FE-B971-4233-AF57-43A09B3FE86E}"/>
    <cellStyle name="Moneda 11 2 8 4" xfId="10686" xr:uid="{E22DB595-5EF7-4B8A-9C69-D17CF515789F}"/>
    <cellStyle name="Moneda 11 2 9" xfId="3229" xr:uid="{D9A8E56E-64DE-426D-BD4C-C444FD2E6690}"/>
    <cellStyle name="Moneda 11 2 9 2" xfId="6233" xr:uid="{4DFC3655-05DD-4C64-9E06-B12E56B2D052}"/>
    <cellStyle name="Moneda 11 2 9 2 2" xfId="13794" xr:uid="{18CF0CA9-D4E4-427A-883E-4C6F8DC54863}"/>
    <cellStyle name="Moneda 11 2 9 3" xfId="7637" xr:uid="{D4E6840A-3052-4EBA-80B3-2364033C1CE9}"/>
    <cellStyle name="Moneda 11 2 9 3 2" xfId="15166" xr:uid="{B70E487C-FA1F-4310-BB2C-3FD27C2A35A2}"/>
    <cellStyle name="Moneda 11 2 9 4" xfId="10811" xr:uid="{20215A96-3B33-4E57-A795-F56A01243D5A}"/>
    <cellStyle name="Moneda 11 3" xfId="1443" xr:uid="{4037DD8C-4478-478C-80AC-ACE3220BAD5F}"/>
    <cellStyle name="Moneda 11 3 10" xfId="2393" xr:uid="{FD3BFE8B-7FF9-42DD-8270-F08359C52B3C}"/>
    <cellStyle name="Moneda 11 3 10 2" xfId="6524" xr:uid="{96252379-9113-4687-9B28-89563A662993}"/>
    <cellStyle name="Moneda 11 3 10 2 2" xfId="14080" xr:uid="{5AA88FBA-FE9D-4607-9C4C-2E821942FF80}"/>
    <cellStyle name="Moneda 11 3 10 3" xfId="7923" xr:uid="{8087FFA7-D265-431D-AED2-E594DEC7D468}"/>
    <cellStyle name="Moneda 11 3 10 3 2" xfId="15452" xr:uid="{29E1894A-7CCD-49F4-8320-50047EFCC146}"/>
    <cellStyle name="Moneda 11 3 10 4" xfId="9981" xr:uid="{518B077C-B7FD-48E3-93ED-4169B506E61F}"/>
    <cellStyle name="Moneda 11 3 11" xfId="4403" xr:uid="{99622E6A-2E98-4DFB-BD78-49895A45999F}"/>
    <cellStyle name="Moneda 11 3 11 2" xfId="11971" xr:uid="{6A548ABC-E194-4CDC-A0EF-FC9CB50D9F8E}"/>
    <cellStyle name="Moneda 11 3 12" xfId="5403" xr:uid="{E5C907D1-9C31-496D-81CF-2503B608723D}"/>
    <cellStyle name="Moneda 11 3 12 2" xfId="12964" xr:uid="{52B8D2C0-FD0A-45AF-9DAF-D55D573C03FB}"/>
    <cellStyle name="Moneda 11 3 13" xfId="6807" xr:uid="{452ACC03-4EE9-4A57-B63D-BB62EFDEC9BC}"/>
    <cellStyle name="Moneda 11 3 13 2" xfId="14336" xr:uid="{69475BA6-DAB5-42F0-9648-2D22B0C2A19A}"/>
    <cellStyle name="Moneda 11 3 14" xfId="9051" xr:uid="{4AAFD601-09CE-4D3C-A89F-4F4D7DD641F9}"/>
    <cellStyle name="Moneda 11 3 2" xfId="2517" xr:uid="{9220F6D2-14C1-4AE9-BA51-285D9AB40637}"/>
    <cellStyle name="Moneda 11 3 2 2" xfId="6659" xr:uid="{46B9F208-C1A9-4DA5-B7A1-A3E8941379B8}"/>
    <cellStyle name="Moneda 11 3 2 2 2" xfId="8045" xr:uid="{E670E8AB-75A9-4936-8AF0-7D61AB2D0F55}"/>
    <cellStyle name="Moneda 11 3 2 2 2 2" xfId="15574" xr:uid="{C59BB19B-747B-455F-98C2-5DD433C7BC2D}"/>
    <cellStyle name="Moneda 11 3 2 2 3" xfId="14202" xr:uid="{5F6D55DD-F14D-4F6D-9AA8-33B2E48E2A34}"/>
    <cellStyle name="Moneda 11 3 2 3" xfId="5523" xr:uid="{1B2E8A05-3642-422B-8191-4D4DEAA6C487}"/>
    <cellStyle name="Moneda 11 3 2 3 2" xfId="13084" xr:uid="{DA03ABCD-C593-4999-A024-516A892CDA99}"/>
    <cellStyle name="Moneda 11 3 2 4" xfId="6927" xr:uid="{E1B894FD-59C1-4FBD-8A6C-EA666F7842BA}"/>
    <cellStyle name="Moneda 11 3 2 4 2" xfId="14456" xr:uid="{FC157AC9-732B-4572-94FA-5F7F609535E9}"/>
    <cellStyle name="Moneda 11 3 2 5" xfId="10101" xr:uid="{27026D7C-524A-4853-AFBF-BC9ECDBA1F43}"/>
    <cellStyle name="Moneda 11 3 3" xfId="2638" xr:uid="{071F79D9-74B2-4D1A-8572-C09D25E8FED2}"/>
    <cellStyle name="Moneda 11 3 3 2" xfId="5643" xr:uid="{27F88466-334D-4018-AE3D-E3EA9CE1DADA}"/>
    <cellStyle name="Moneda 11 3 3 2 2" xfId="13204" xr:uid="{9CB1039F-5265-43AF-8994-DC1244A569BA}"/>
    <cellStyle name="Moneda 11 3 3 3" xfId="7047" xr:uid="{2B1A4A7D-4379-429D-98F2-544D9F8224BC}"/>
    <cellStyle name="Moneda 11 3 3 3 2" xfId="14576" xr:uid="{746D4228-FB18-48E8-BCA1-C4F0F1871115}"/>
    <cellStyle name="Moneda 11 3 3 4" xfId="10221" xr:uid="{49D7DCC9-13A5-4F9F-8620-7022E280EB5F}"/>
    <cellStyle name="Moneda 11 3 4" xfId="2760" xr:uid="{04C823F0-0E86-4A5E-84C7-63FA355807FD}"/>
    <cellStyle name="Moneda 11 3 4 2" xfId="5765" xr:uid="{E9E52704-82B0-4FA5-ADB4-B3D2DD634FF6}"/>
    <cellStyle name="Moneda 11 3 4 2 2" xfId="13326" xr:uid="{6AC390FF-1BE4-4CC1-B498-B5F5E2788BE5}"/>
    <cellStyle name="Moneda 11 3 4 3" xfId="7169" xr:uid="{2BED31BC-D5CA-4496-A9E0-209B4E5181A0}"/>
    <cellStyle name="Moneda 11 3 4 3 2" xfId="14698" xr:uid="{DA9EA8C2-1648-489C-A8B4-8B6CFFD95304}"/>
    <cellStyle name="Moneda 11 3 4 4" xfId="10343" xr:uid="{6A6C3389-0AFD-4D56-AA60-BA69E0295380}"/>
    <cellStyle name="Moneda 11 3 5" xfId="2885" xr:uid="{86868406-5D1A-4459-8172-D00A56505845}"/>
    <cellStyle name="Moneda 11 3 5 2" xfId="5889" xr:uid="{6674F4C4-AEF5-41DF-AFE7-91818FE0D537}"/>
    <cellStyle name="Moneda 11 3 5 2 2" xfId="13450" xr:uid="{C320E9CA-FC13-4BBE-AF6F-72F39032A08F}"/>
    <cellStyle name="Moneda 11 3 5 3" xfId="7293" xr:uid="{B1DEE8A6-8F19-4136-A9F6-54EAFAFD582A}"/>
    <cellStyle name="Moneda 11 3 5 3 2" xfId="14822" xr:uid="{A157BA2B-7076-4088-A33F-5A6456332AC7}"/>
    <cellStyle name="Moneda 11 3 5 4" xfId="10467" xr:uid="{96BA527F-2DC6-43EB-88ED-E7720C7DF000}"/>
    <cellStyle name="Moneda 11 3 6" xfId="3009" xr:uid="{22296598-B6B9-47E9-A141-222C9841BF8B}"/>
    <cellStyle name="Moneda 11 3 6 2" xfId="6013" xr:uid="{49C3ADB5-6112-4F8F-BFF8-0D406790BD06}"/>
    <cellStyle name="Moneda 11 3 6 2 2" xfId="13574" xr:uid="{116E2DB5-B5D3-48FB-9490-63CBD5E9FF4D}"/>
    <cellStyle name="Moneda 11 3 6 3" xfId="7417" xr:uid="{4CFF2F59-91AF-4054-AE26-F0F3EE9E1AE0}"/>
    <cellStyle name="Moneda 11 3 6 3 2" xfId="14946" xr:uid="{653C0FB4-F06C-4DC4-A9D6-8A4431B314E8}"/>
    <cellStyle name="Moneda 11 3 6 4" xfId="10591" xr:uid="{D03E8238-0368-4C12-86BB-8EB143292265}"/>
    <cellStyle name="Moneda 11 3 7" xfId="3133" xr:uid="{25C419E1-0B37-43FF-9863-79480132D4DE}"/>
    <cellStyle name="Moneda 11 3 7 2" xfId="6137" xr:uid="{2D6A52AB-4F7E-453B-82D7-BB1ED728B169}"/>
    <cellStyle name="Moneda 11 3 7 2 2" xfId="13698" xr:uid="{90ABD939-81D9-4ABD-B785-AB48DB42E173}"/>
    <cellStyle name="Moneda 11 3 7 3" xfId="7541" xr:uid="{C037950C-4DB4-4211-BFFC-79708A116E4A}"/>
    <cellStyle name="Moneda 11 3 7 3 2" xfId="15070" xr:uid="{45D9C811-44C7-4EB8-8985-E2CEAD367CD8}"/>
    <cellStyle name="Moneda 11 3 7 4" xfId="10715" xr:uid="{C68E8B28-B00F-4161-ACEF-4F2BF1556AF4}"/>
    <cellStyle name="Moneda 11 3 8" xfId="3258" xr:uid="{01008CC1-6F7D-4027-8814-4EF88A57C8A5}"/>
    <cellStyle name="Moneda 11 3 8 2" xfId="6262" xr:uid="{7C12CD3B-FE7D-4D7C-A5E9-734652EDB8F4}"/>
    <cellStyle name="Moneda 11 3 8 2 2" xfId="13823" xr:uid="{52F020A8-73F8-42EC-A307-9FB415C8DF04}"/>
    <cellStyle name="Moneda 11 3 8 3" xfId="7666" xr:uid="{87978C46-4F43-4A93-8492-BABAC6FB6CBB}"/>
    <cellStyle name="Moneda 11 3 8 3 2" xfId="15195" xr:uid="{72970CC6-103F-4B11-B8B7-20C46CEF938E}"/>
    <cellStyle name="Moneda 11 3 8 4" xfId="10840" xr:uid="{F9AA398E-F9A5-4410-B596-B090BB9F7FE1}"/>
    <cellStyle name="Moneda 11 3 9" xfId="3386" xr:uid="{CFAE4B6E-FDC5-49EB-BC97-390F77D5F98B}"/>
    <cellStyle name="Moneda 11 3 9 2" xfId="6388" xr:uid="{7DBBE0AC-5E5D-49F0-9D82-35D99C5CB8CC}"/>
    <cellStyle name="Moneda 11 3 9 2 2" xfId="13949" xr:uid="{47420066-CA54-4984-9447-AB6188904955}"/>
    <cellStyle name="Moneda 11 3 9 3" xfId="7792" xr:uid="{0AA6F85C-1622-4553-83F4-ACFC4E74AC8D}"/>
    <cellStyle name="Moneda 11 3 9 3 2" xfId="15321" xr:uid="{782CD4F5-ADF0-45C7-8B9D-1AC5D56ECB85}"/>
    <cellStyle name="Moneda 11 3 9 4" xfId="10966" xr:uid="{6675980A-8A91-496D-9E26-65F8A04B567E}"/>
    <cellStyle name="Moneda 11 4" xfId="1822" xr:uid="{4A726A74-F5BD-4FBA-A83C-9FCCB12D090A}"/>
    <cellStyle name="Moneda 11 4 2" xfId="2458" xr:uid="{C9539C52-B2B7-4AFF-8919-65AE15FB2757}"/>
    <cellStyle name="Moneda 11 4 2 2" xfId="6591" xr:uid="{1C561470-34C2-4CA9-90D4-82C91B2FD5FC}"/>
    <cellStyle name="Moneda 11 4 2 2 2" xfId="14144" xr:uid="{344B9C5A-D984-43DC-942A-F04953E7B7ED}"/>
    <cellStyle name="Moneda 11 4 2 3" xfId="7987" xr:uid="{97F4695D-DA3A-4EAD-8FB7-6EBB88DCDD6B}"/>
    <cellStyle name="Moneda 11 4 2 3 2" xfId="15516" xr:uid="{5023D7B1-00E0-4E69-8AC1-4652470C5F3C}"/>
    <cellStyle name="Moneda 11 4 2 4" xfId="10042" xr:uid="{E1190406-299E-4B32-A119-2AFC26EEDCCA}"/>
    <cellStyle name="Moneda 11 4 3" xfId="4781" xr:uid="{B596D249-A5F9-4BD9-8A74-CDC457381206}"/>
    <cellStyle name="Moneda 11 4 3 2" xfId="12349" xr:uid="{A848AAE6-3E5C-4B6C-B0BF-FB94D4DEEEDC}"/>
    <cellStyle name="Moneda 11 4 4" xfId="5464" xr:uid="{F0609C8D-F656-4ED8-B237-CE678B2237A6}"/>
    <cellStyle name="Moneda 11 4 4 2" xfId="13025" xr:uid="{304185E6-BEDC-4F5A-B698-4D2DC3704CE8}"/>
    <cellStyle name="Moneda 11 4 5" xfId="6868" xr:uid="{C0920C92-9548-4DFD-8507-1E809757F4DA}"/>
    <cellStyle name="Moneda 11 4 5 2" xfId="14397" xr:uid="{8F80809C-413B-4717-A424-673497375090}"/>
    <cellStyle name="Moneda 11 4 6" xfId="9429" xr:uid="{C49E2AF9-D8DB-4D35-A4F7-303A3BE6BC1C}"/>
    <cellStyle name="Moneda 11 5" xfId="2580" xr:uid="{D1B3F931-8F78-459E-A829-C8F4F6C8F023}"/>
    <cellStyle name="Moneda 11 5 2" xfId="5585" xr:uid="{1E7341CB-90B4-40A7-990F-63B5F2A97CC6}"/>
    <cellStyle name="Moneda 11 5 2 2" xfId="13146" xr:uid="{9BB3A5FE-C5DB-4D64-A6DF-068413BD8F88}"/>
    <cellStyle name="Moneda 11 5 3" xfId="6989" xr:uid="{D6CD236A-0278-49AF-89D7-B2F7EA9E5B61}"/>
    <cellStyle name="Moneda 11 5 3 2" xfId="14518" xr:uid="{A3DD84CD-5AB0-403A-BE59-890A5DF92A84}"/>
    <cellStyle name="Moneda 11 5 4" xfId="10163" xr:uid="{B3137219-DDE5-412C-945B-339CEC6D6B82}"/>
    <cellStyle name="Moneda 11 6" xfId="2702" xr:uid="{E5BCDCC8-9278-4B2F-A5BE-A74C9FA959C6}"/>
    <cellStyle name="Moneda 11 6 2" xfId="5707" xr:uid="{B5724F63-0B95-48C0-B71B-6B66CC738765}"/>
    <cellStyle name="Moneda 11 6 2 2" xfId="13268" xr:uid="{91C544AE-FF34-4FE7-B962-68236E409B28}"/>
    <cellStyle name="Moneda 11 6 3" xfId="7111" xr:uid="{9AD0A4D7-5A72-4274-9DBC-A75950B64687}"/>
    <cellStyle name="Moneda 11 6 3 2" xfId="14640" xr:uid="{986AABB3-05A7-4417-B249-BE5E2D6EAFD3}"/>
    <cellStyle name="Moneda 11 6 4" xfId="10285" xr:uid="{12381A9A-CE47-48D7-A0A4-3D127252B286}"/>
    <cellStyle name="Moneda 11 7" xfId="2827" xr:uid="{51C5F992-3DCE-4E0E-983D-8B8895CABAE3}"/>
    <cellStyle name="Moneda 11 7 2" xfId="5831" xr:uid="{D5A69A3F-22D5-4872-B88D-6552E9528E6C}"/>
    <cellStyle name="Moneda 11 7 2 2" xfId="13392" xr:uid="{D036CE08-5C08-461B-82F0-4E17D1109AB1}"/>
    <cellStyle name="Moneda 11 7 3" xfId="7235" xr:uid="{71DB88DE-2ADD-4F5C-84B9-22EF8B1C2A5D}"/>
    <cellStyle name="Moneda 11 7 3 2" xfId="14764" xr:uid="{55DD2616-E82C-4839-BB06-EF1AE2B903BC}"/>
    <cellStyle name="Moneda 11 7 4" xfId="10409" xr:uid="{8F43E57F-46E0-4626-9C94-5E0026024701}"/>
    <cellStyle name="Moneda 11 8" xfId="2951" xr:uid="{0BC1136C-0EA1-449C-8527-F796B560DC96}"/>
    <cellStyle name="Moneda 11 8 2" xfId="5955" xr:uid="{198CD10D-D1D9-4A76-9B67-230F67B77FE9}"/>
    <cellStyle name="Moneda 11 8 2 2" xfId="13516" xr:uid="{F3DB111A-7379-4D95-A6EC-047A96211580}"/>
    <cellStyle name="Moneda 11 8 3" xfId="7359" xr:uid="{BE56787C-02E8-4FEB-B0FE-5A91539537B8}"/>
    <cellStyle name="Moneda 11 8 3 2" xfId="14888" xr:uid="{758F369B-05FD-4CC2-B083-0BC4D46510CE}"/>
    <cellStyle name="Moneda 11 8 4" xfId="10533" xr:uid="{A0109EE0-D896-4B1F-B243-31F5BB604E1A}"/>
    <cellStyle name="Moneda 11 9" xfId="3075" xr:uid="{974C7F5A-840F-413A-AC5D-19B7AB952E2D}"/>
    <cellStyle name="Moneda 11 9 2" xfId="6079" xr:uid="{4B4349D9-82DF-4834-8FDF-A359B85E59E2}"/>
    <cellStyle name="Moneda 11 9 2 2" xfId="13640" xr:uid="{A34178EA-C700-4A3B-BB92-43259504052D}"/>
    <cellStyle name="Moneda 11 9 3" xfId="7483" xr:uid="{2381F3FA-43CF-4D36-B0E0-2DF625AF1B10}"/>
    <cellStyle name="Moneda 11 9 3 2" xfId="15012" xr:uid="{660A525C-9D84-49BF-AB55-A325AAD9887D}"/>
    <cellStyle name="Moneda 11 9 4" xfId="10657" xr:uid="{EB05AC18-7E69-4464-A66E-60FC81837806}"/>
    <cellStyle name="Moneda 110" xfId="515" xr:uid="{D1EBCDBC-6A31-4CDA-BBEE-925F24F5D20C}"/>
    <cellStyle name="Moneda 110 2" xfId="1277" xr:uid="{5143A21C-D7B6-4D2A-8BC0-9055DC95C30A}"/>
    <cellStyle name="Moneda 110 2 2" xfId="4237" xr:uid="{42CEB936-7583-49E5-9637-7330CBD6B73A}"/>
    <cellStyle name="Moneda 110 2 2 2" xfId="11805" xr:uid="{3477C49A-654E-4669-B5F6-8089385AAB9E}"/>
    <cellStyle name="Moneda 110 2 3" xfId="8885" xr:uid="{EF3B34BD-FA92-4CC7-B785-D81ABE10BD98}"/>
    <cellStyle name="Moneda 110 3" xfId="1641" xr:uid="{886F2F24-5E25-43EC-AC5C-C65DA3AA2AA8}"/>
    <cellStyle name="Moneda 110 3 2" xfId="4601" xr:uid="{9238FF40-CFCC-4924-8A91-0319AC5A929E}"/>
    <cellStyle name="Moneda 110 3 2 2" xfId="12169" xr:uid="{20AA4501-C71B-496D-8AE3-140007EBFDFF}"/>
    <cellStyle name="Moneda 110 3 3" xfId="9249" xr:uid="{097203D5-A328-481F-9C19-EF6DF613AC97}"/>
    <cellStyle name="Moneda 110 4" xfId="2020" xr:uid="{DAC12E97-4F9F-4C05-84BC-189810407FF1}"/>
    <cellStyle name="Moneda 110 4 2" xfId="4979" xr:uid="{7D860836-1343-42C4-AEF9-31DE46C39EB1}"/>
    <cellStyle name="Moneda 110 4 2 2" xfId="12547" xr:uid="{D4DF49AB-EA80-4732-A261-A7BDCC312A03}"/>
    <cellStyle name="Moneda 110 4 3" xfId="9627" xr:uid="{B61F6E1B-5039-4D25-AEDB-BC8D267E92AE}"/>
    <cellStyle name="Moneda 110 5" xfId="3706" xr:uid="{80F4B3A7-801B-4603-BD25-87423ED9210C}"/>
    <cellStyle name="Moneda 110 5 2" xfId="11274" xr:uid="{5FC025AA-FD75-47A3-A91F-FDE1610553A0}"/>
    <cellStyle name="Moneda 110 6" xfId="8354" xr:uid="{601E3FBA-9077-4472-8A10-B59620B4CA95}"/>
    <cellStyle name="Moneda 111" xfId="518" xr:uid="{CE5E65D9-C679-42D1-96CA-8924B1ABFEEA}"/>
    <cellStyle name="Moneda 111 2" xfId="1279" xr:uid="{43338FBA-3FA2-4BE8-87EF-437D5299E97D}"/>
    <cellStyle name="Moneda 111 2 2" xfId="4239" xr:uid="{CFF50517-8C81-411E-882A-C862354B1402}"/>
    <cellStyle name="Moneda 111 2 2 2" xfId="11807" xr:uid="{9F6AC045-E8C6-47E2-AE9F-65B4AF8720F1}"/>
    <cellStyle name="Moneda 111 2 3" xfId="8887" xr:uid="{BECAE41F-3726-4C6D-A218-35CC56749AAF}"/>
    <cellStyle name="Moneda 111 3" xfId="1643" xr:uid="{63D21E3B-3C84-48F9-B781-D333D30B6BF6}"/>
    <cellStyle name="Moneda 111 3 2" xfId="4603" xr:uid="{1B7DECAD-6713-4188-9390-C7B3BDA997D0}"/>
    <cellStyle name="Moneda 111 3 2 2" xfId="12171" xr:uid="{6EE8DAB9-443E-4E93-9F7A-34110D7C8B9A}"/>
    <cellStyle name="Moneda 111 3 3" xfId="9251" xr:uid="{2F9AEE5F-D6CF-4CEA-B176-2723437B3749}"/>
    <cellStyle name="Moneda 111 4" xfId="2022" xr:uid="{9EFDF97A-E1D1-4320-8F54-302AC3207D9E}"/>
    <cellStyle name="Moneda 111 4 2" xfId="4981" xr:uid="{6ADD686F-EA99-4D26-B316-9291B101D442}"/>
    <cellStyle name="Moneda 111 4 2 2" xfId="12549" xr:uid="{5C7924C7-FCAE-495D-84D2-E30FB13E8417}"/>
    <cellStyle name="Moneda 111 4 3" xfId="9629" xr:uid="{5A67621B-0F00-4704-8851-420A6709E5D8}"/>
    <cellStyle name="Moneda 111 5" xfId="3708" xr:uid="{9FC0B8F3-E246-445B-9461-E5CE59DA7BF1}"/>
    <cellStyle name="Moneda 111 5 2" xfId="11276" xr:uid="{2479CC54-801F-42D9-BFA7-14090E241C99}"/>
    <cellStyle name="Moneda 111 6" xfId="8356" xr:uid="{CC1DE6F3-2457-4D4D-A315-674DCF046FC1}"/>
    <cellStyle name="Moneda 112" xfId="521" xr:uid="{6E512DD0-CB89-40E6-B19C-27D6ABEB8351}"/>
    <cellStyle name="Moneda 112 2" xfId="1281" xr:uid="{1146E1FB-24B6-4F47-AB2A-63C92EBF7099}"/>
    <cellStyle name="Moneda 112 2 2" xfId="4241" xr:uid="{1BBD156D-7A19-420E-891C-99A9A2609459}"/>
    <cellStyle name="Moneda 112 2 2 2" xfId="11809" xr:uid="{3891AB0B-3423-4CD3-89A8-425256D82C11}"/>
    <cellStyle name="Moneda 112 2 3" xfId="8889" xr:uid="{169AC465-48B6-4D42-A450-2687B833AA9D}"/>
    <cellStyle name="Moneda 112 3" xfId="1645" xr:uid="{F3BA213D-FB9A-4B16-B05A-753BB10DA407}"/>
    <cellStyle name="Moneda 112 3 2" xfId="4605" xr:uid="{C428F63E-4C1F-4C77-8029-7F0C90D09551}"/>
    <cellStyle name="Moneda 112 3 2 2" xfId="12173" xr:uid="{E711BA1B-A632-42CE-B38B-4DCD978FB8C1}"/>
    <cellStyle name="Moneda 112 3 3" xfId="9253" xr:uid="{29C4AA7D-8E21-477E-AEE7-81E400D9F543}"/>
    <cellStyle name="Moneda 112 4" xfId="2024" xr:uid="{42C85ABA-1E28-403B-B217-A3BB4DFC7947}"/>
    <cellStyle name="Moneda 112 4 2" xfId="4983" xr:uid="{164E8AFF-B8D7-4D2F-B1B2-63BC7881A51C}"/>
    <cellStyle name="Moneda 112 4 2 2" xfId="12551" xr:uid="{CCB64619-EC7B-4D18-BD14-40B91566C2F3}"/>
    <cellStyle name="Moneda 112 4 3" xfId="9631" xr:uid="{D511CBF3-0910-44FE-9A39-7296DFE53FC5}"/>
    <cellStyle name="Moneda 112 5" xfId="3710" xr:uid="{7A7115AE-9716-4A31-A299-65298417D02A}"/>
    <cellStyle name="Moneda 112 5 2" xfId="11278" xr:uid="{EF3589AC-7D89-42D0-B075-1CE45C351085}"/>
    <cellStyle name="Moneda 112 6" xfId="8358" xr:uid="{632CCDE9-250F-4037-A18C-546A82029741}"/>
    <cellStyle name="Moneda 113" xfId="524" xr:uid="{0189E084-FCD1-4EB7-80A6-2283F1B89034}"/>
    <cellStyle name="Moneda 113 2" xfId="1283" xr:uid="{86910E8A-9DF3-4500-8F7F-3D9D51555968}"/>
    <cellStyle name="Moneda 113 2 2" xfId="4243" xr:uid="{7DBF0DAF-D30C-4173-B7AD-762C7E8EA396}"/>
    <cellStyle name="Moneda 113 2 2 2" xfId="11811" xr:uid="{0173F8EB-743E-4D82-A4A7-721EB4F69686}"/>
    <cellStyle name="Moneda 113 2 3" xfId="8891" xr:uid="{DF9FF293-B154-4083-A1EF-751AAE4830AC}"/>
    <cellStyle name="Moneda 113 3" xfId="1647" xr:uid="{33D29BEA-F503-43D6-8505-E2B4A44DA1CB}"/>
    <cellStyle name="Moneda 113 3 2" xfId="4607" xr:uid="{32B1B6B8-3282-4CDE-B61E-75D6BBABC012}"/>
    <cellStyle name="Moneda 113 3 2 2" xfId="12175" xr:uid="{3DF3BAB1-3A05-4ACA-8774-5366803427AD}"/>
    <cellStyle name="Moneda 113 3 3" xfId="9255" xr:uid="{7980877E-AE28-42B5-B5AF-843640BC5DC0}"/>
    <cellStyle name="Moneda 113 4" xfId="2026" xr:uid="{9B067769-4196-4AC8-8325-857961CA02EA}"/>
    <cellStyle name="Moneda 113 4 2" xfId="4985" xr:uid="{F0F64B6E-169A-4FA6-81E6-EDCDDC6303C8}"/>
    <cellStyle name="Moneda 113 4 2 2" xfId="12553" xr:uid="{D655929B-DF23-42F5-A05F-70665D8812EA}"/>
    <cellStyle name="Moneda 113 4 3" xfId="9633" xr:uid="{F3300E71-6F14-49C8-BF8B-B50CE6F10852}"/>
    <cellStyle name="Moneda 113 5" xfId="3712" xr:uid="{1CA7B818-F9CC-4A21-8E14-722A04FD1A3E}"/>
    <cellStyle name="Moneda 113 5 2" xfId="11280" xr:uid="{3ECD2B5A-CAE7-4962-BBD8-B358D397FCB6}"/>
    <cellStyle name="Moneda 113 6" xfId="8360" xr:uid="{992A4220-34D3-4378-9F9E-23D9D9978252}"/>
    <cellStyle name="Moneda 114" xfId="527" xr:uid="{8B03A40E-31F5-4426-BD96-47AA65DC89A8}"/>
    <cellStyle name="Moneda 114 2" xfId="1285" xr:uid="{ECD8FF93-9153-412F-A888-F4EB257B3D18}"/>
    <cellStyle name="Moneda 114 2 2" xfId="4245" xr:uid="{4FEB3AB9-EADE-46CF-B5B3-7D685DFCF692}"/>
    <cellStyle name="Moneda 114 2 2 2" xfId="11813" xr:uid="{AEDC51C2-3913-4B34-9485-0338088EDD0C}"/>
    <cellStyle name="Moneda 114 2 3" xfId="8893" xr:uid="{C936EBC5-3F2E-4369-8B66-1B02C24D414D}"/>
    <cellStyle name="Moneda 114 3" xfId="1649" xr:uid="{E6826869-70C1-432B-8323-21D797C5BF9E}"/>
    <cellStyle name="Moneda 114 3 2" xfId="4609" xr:uid="{24879E22-D3F6-425B-8BEA-37A3BD8C3DAC}"/>
    <cellStyle name="Moneda 114 3 2 2" xfId="12177" xr:uid="{32369E9B-9CBE-4E2D-9082-D3658BA9F275}"/>
    <cellStyle name="Moneda 114 3 3" xfId="9257" xr:uid="{1F31A05A-7D2B-4B9C-B972-DC08C82F8D2B}"/>
    <cellStyle name="Moneda 114 4" xfId="2028" xr:uid="{879D776A-AD83-4CF8-988C-1E1E7158B871}"/>
    <cellStyle name="Moneda 114 4 2" xfId="4987" xr:uid="{0B53E1AE-6D4E-4943-8A00-41589093B176}"/>
    <cellStyle name="Moneda 114 4 2 2" xfId="12555" xr:uid="{1AF13018-E74E-4D8F-8CB5-C161F18D8E25}"/>
    <cellStyle name="Moneda 114 4 3" xfId="9635" xr:uid="{4D8D7971-FA29-4290-9E2F-A07E35AC5E61}"/>
    <cellStyle name="Moneda 114 5" xfId="3714" xr:uid="{4E8EB486-CEAA-4496-8E43-5F430AB9DB0C}"/>
    <cellStyle name="Moneda 114 5 2" xfId="11282" xr:uid="{6020623F-779B-45F9-A65F-A98A3F07E82D}"/>
    <cellStyle name="Moneda 114 6" xfId="8362" xr:uid="{655EC991-5C68-4D61-8BE3-8C4E98142405}"/>
    <cellStyle name="Moneda 115" xfId="530" xr:uid="{6782D31D-4331-49D5-80F9-6CE11888F0D0}"/>
    <cellStyle name="Moneda 115 2" xfId="1287" xr:uid="{C084FF85-93B9-4BAA-977F-9ECB0954B4EA}"/>
    <cellStyle name="Moneda 115 2 2" xfId="4247" xr:uid="{4C37A729-1A13-45AB-A168-DAAC433988C7}"/>
    <cellStyle name="Moneda 115 2 2 2" xfId="11815" xr:uid="{B355E13B-ABE6-4244-8956-5A07506963F7}"/>
    <cellStyle name="Moneda 115 2 3" xfId="8895" xr:uid="{B36742A6-7AF2-465F-B24E-1A215AE5A9E9}"/>
    <cellStyle name="Moneda 115 3" xfId="1651" xr:uid="{07FCB4D2-CFB5-416D-ADFA-6DE556738AE8}"/>
    <cellStyle name="Moneda 115 3 2" xfId="4611" xr:uid="{4E0936BC-20A3-496E-B35E-342F60E3B70F}"/>
    <cellStyle name="Moneda 115 3 2 2" xfId="12179" xr:uid="{00074D1D-7AF6-4E35-8C6C-AE2DD7C6B2EC}"/>
    <cellStyle name="Moneda 115 3 3" xfId="9259" xr:uid="{8D65CF6D-EA61-4247-9B7E-226AC6924620}"/>
    <cellStyle name="Moneda 115 4" xfId="2030" xr:uid="{CBD09AFF-9BDB-4DF7-BE52-81B5ECCB1F8F}"/>
    <cellStyle name="Moneda 115 4 2" xfId="4989" xr:uid="{F8B5B0A8-92E6-48F1-A494-4F9B1AAD610F}"/>
    <cellStyle name="Moneda 115 4 2 2" xfId="12557" xr:uid="{E13DD9B6-4BA2-4F3B-9970-E8B2D60E0334}"/>
    <cellStyle name="Moneda 115 4 3" xfId="9637" xr:uid="{8138B14F-A01A-4320-A626-226F1FB05369}"/>
    <cellStyle name="Moneda 115 5" xfId="3716" xr:uid="{2EE2EC48-DA1F-4092-AA27-788DD31708E6}"/>
    <cellStyle name="Moneda 115 5 2" xfId="11284" xr:uid="{46D06A9C-8863-454D-BCAB-EE0F1D515F32}"/>
    <cellStyle name="Moneda 115 6" xfId="8364" xr:uid="{E45D4617-BEBA-4B24-AACD-D7C2B0A4A727}"/>
    <cellStyle name="Moneda 116" xfId="533" xr:uid="{10DDDFA8-8223-44FF-91F0-5AEE01C62CAF}"/>
    <cellStyle name="Moneda 116 2" xfId="1289" xr:uid="{B4C58E73-4F02-4316-B2CF-EED79F745455}"/>
    <cellStyle name="Moneda 116 2 2" xfId="4249" xr:uid="{98B10697-0A10-4FC3-8C85-AA8831A7B4C2}"/>
    <cellStyle name="Moneda 116 2 2 2" xfId="11817" xr:uid="{C9C2B039-4FDA-478C-A0A9-648A3E2BB17B}"/>
    <cellStyle name="Moneda 116 2 3" xfId="8897" xr:uid="{DA8AE73F-DECC-48F2-BA83-86E556EFAFF6}"/>
    <cellStyle name="Moneda 116 3" xfId="1653" xr:uid="{B99BC5C6-C1D3-4BB0-B4EB-90241C9ADE9E}"/>
    <cellStyle name="Moneda 116 3 2" xfId="4613" xr:uid="{5004BA61-519F-4602-A4C9-A0EB1F27B373}"/>
    <cellStyle name="Moneda 116 3 2 2" xfId="12181" xr:uid="{14B30266-0DDE-47C1-99DE-99E523029819}"/>
    <cellStyle name="Moneda 116 3 3" xfId="9261" xr:uid="{1756F20E-5749-4B1E-805C-DA7BA58F48CF}"/>
    <cellStyle name="Moneda 116 4" xfId="2032" xr:uid="{E676524B-E341-4DEC-88C5-8137C222316B}"/>
    <cellStyle name="Moneda 116 4 2" xfId="4991" xr:uid="{969E38B2-90BD-44DE-91B0-9ECCDB130F27}"/>
    <cellStyle name="Moneda 116 4 2 2" xfId="12559" xr:uid="{516E957D-BF89-4232-9456-D328AACB3128}"/>
    <cellStyle name="Moneda 116 4 3" xfId="9639" xr:uid="{92B87176-B889-4E20-9C19-091752E0D3A0}"/>
    <cellStyle name="Moneda 116 5" xfId="3718" xr:uid="{0AD2833C-B7D8-45AC-A134-873B58ABF17C}"/>
    <cellStyle name="Moneda 116 5 2" xfId="11286" xr:uid="{91B146CE-987C-4019-8F72-5B46BC756EE5}"/>
    <cellStyle name="Moneda 116 6" xfId="8366" xr:uid="{C315B8D6-AB16-423E-A339-90D47F824D2C}"/>
    <cellStyle name="Moneda 117" xfId="536" xr:uid="{06BD2AEF-68AA-4853-B898-AD594A0E5F71}"/>
    <cellStyle name="Moneda 117 2" xfId="1291" xr:uid="{752B9B58-FC29-49AF-BE45-EED3DDFFCAF5}"/>
    <cellStyle name="Moneda 117 2 2" xfId="4251" xr:uid="{30E2BD21-2106-4B8E-A6F5-D6366E631E3E}"/>
    <cellStyle name="Moneda 117 2 2 2" xfId="11819" xr:uid="{997AE39D-39DA-4C4A-ABC8-AD4F57409E4C}"/>
    <cellStyle name="Moneda 117 2 3" xfId="8899" xr:uid="{AB146926-9AB1-4AC6-816E-FE704B3917D2}"/>
    <cellStyle name="Moneda 117 3" xfId="1655" xr:uid="{A59C6C92-F378-46CC-86C3-35A3A40AC387}"/>
    <cellStyle name="Moneda 117 3 2" xfId="4615" xr:uid="{1A94E119-5460-43F1-B4F4-D98E20AB1676}"/>
    <cellStyle name="Moneda 117 3 2 2" xfId="12183" xr:uid="{025E9E3F-F97F-4456-AAA5-03FAABEA0319}"/>
    <cellStyle name="Moneda 117 3 3" xfId="9263" xr:uid="{123C33FF-8D5A-4B07-9001-2F76DF52A18D}"/>
    <cellStyle name="Moneda 117 4" xfId="2034" xr:uid="{B2DC1CE2-D00F-48F3-98B6-B40786DD2FA1}"/>
    <cellStyle name="Moneda 117 4 2" xfId="4993" xr:uid="{CAA2756A-BD09-4A84-81D5-1CA240B39B0B}"/>
    <cellStyle name="Moneda 117 4 2 2" xfId="12561" xr:uid="{03273A6D-992D-458F-B4FF-AE0C2B15541F}"/>
    <cellStyle name="Moneda 117 4 3" xfId="9641" xr:uid="{94FF4F91-5EC5-47C0-9C22-4F9880F82656}"/>
    <cellStyle name="Moneda 117 5" xfId="3720" xr:uid="{D566D823-D4CE-4EB3-8B65-15915B17CBAA}"/>
    <cellStyle name="Moneda 117 5 2" xfId="11288" xr:uid="{96BCD6FB-4EBA-4510-BA0B-9CC495268FB2}"/>
    <cellStyle name="Moneda 117 6" xfId="8368" xr:uid="{D8D3C6DB-8304-4E35-B3F2-A910E4E24530}"/>
    <cellStyle name="Moneda 118" xfId="539" xr:uid="{5468824E-A92D-442A-8D67-70254F64D680}"/>
    <cellStyle name="Moneda 118 2" xfId="1293" xr:uid="{4689F514-ED82-42FE-925B-CF3ED55E6AE6}"/>
    <cellStyle name="Moneda 118 2 2" xfId="4253" xr:uid="{49298A52-CF32-451F-B9A2-E1B31278A260}"/>
    <cellStyle name="Moneda 118 2 2 2" xfId="11821" xr:uid="{67214460-1C83-47C7-882E-A2759E4F9430}"/>
    <cellStyle name="Moneda 118 2 3" xfId="8901" xr:uid="{4C334F56-5C72-4248-896A-C55A37F07380}"/>
    <cellStyle name="Moneda 118 3" xfId="1657" xr:uid="{7E753B5E-60A7-486C-8872-8ACC866268FC}"/>
    <cellStyle name="Moneda 118 3 2" xfId="4617" xr:uid="{A52C991E-4CBA-42E2-ABC4-4AC9B7C49FD7}"/>
    <cellStyle name="Moneda 118 3 2 2" xfId="12185" xr:uid="{7C53997D-3380-4EAE-A1BB-67B0F051B435}"/>
    <cellStyle name="Moneda 118 3 3" xfId="9265" xr:uid="{A85C05B6-D814-4C83-9784-B7BFB1A28870}"/>
    <cellStyle name="Moneda 118 4" xfId="2036" xr:uid="{74FA7DAD-5A97-4DC9-B9F0-91A828026E65}"/>
    <cellStyle name="Moneda 118 4 2" xfId="4995" xr:uid="{4CB30B44-9D30-45A6-8D97-D0055961C607}"/>
    <cellStyle name="Moneda 118 4 2 2" xfId="12563" xr:uid="{5FE67212-CB60-4B24-A78C-83A5E46B9C49}"/>
    <cellStyle name="Moneda 118 4 3" xfId="9643" xr:uid="{94A05B31-A805-4B2F-A7A4-6ED686AE377D}"/>
    <cellStyle name="Moneda 118 5" xfId="3722" xr:uid="{F89F13A7-2011-4350-B6F7-CB33ADF78B7E}"/>
    <cellStyle name="Moneda 118 5 2" xfId="11290" xr:uid="{A47E7D79-745C-4150-9C4D-79CA20A77219}"/>
    <cellStyle name="Moneda 118 6" xfId="8370" xr:uid="{8236779A-9D5C-4A8A-9381-09C5AB59DC82}"/>
    <cellStyle name="Moneda 119" xfId="542" xr:uid="{D3F0FE62-888E-462E-A6DF-66661BA7FC02}"/>
    <cellStyle name="Moneda 119 2" xfId="1295" xr:uid="{B8968E8E-E8FF-4234-BA99-A8370551A795}"/>
    <cellStyle name="Moneda 119 2 2" xfId="4255" xr:uid="{550D6EC6-C185-46E6-8A57-3BA104741477}"/>
    <cellStyle name="Moneda 119 2 2 2" xfId="11823" xr:uid="{5FD5EA79-EED9-463A-90F9-6C3E59BA53D2}"/>
    <cellStyle name="Moneda 119 2 3" xfId="8903" xr:uid="{381A968E-FB06-42EC-B6C0-1EB766E2D1D9}"/>
    <cellStyle name="Moneda 119 3" xfId="1659" xr:uid="{D7C7F19C-C538-456C-B023-9A969C73D0BC}"/>
    <cellStyle name="Moneda 119 3 2" xfId="4619" xr:uid="{05F15608-4E23-4485-8CDE-9A688C069D7D}"/>
    <cellStyle name="Moneda 119 3 2 2" xfId="12187" xr:uid="{66C749B9-DBAB-48DE-BB54-DCADE02A64F0}"/>
    <cellStyle name="Moneda 119 3 3" xfId="9267" xr:uid="{DAD27138-E23F-46C9-8D3E-B31BE10C1E22}"/>
    <cellStyle name="Moneda 119 4" xfId="2038" xr:uid="{8496EA1A-86DD-4D7D-BC73-C57BEB3551FF}"/>
    <cellStyle name="Moneda 119 4 2" xfId="4997" xr:uid="{E7396246-409E-457A-860B-A94519ED4A8A}"/>
    <cellStyle name="Moneda 119 4 2 2" xfId="12565" xr:uid="{4485C936-D2C5-4E45-B178-9DF1842561D4}"/>
    <cellStyle name="Moneda 119 4 3" xfId="9645" xr:uid="{5D49134D-1489-4DBE-B269-89F5F4816A0B}"/>
    <cellStyle name="Moneda 119 5" xfId="3724" xr:uid="{ECE4D522-2B4F-4354-A0AF-79ADE1CE93C2}"/>
    <cellStyle name="Moneda 119 5 2" xfId="11292" xr:uid="{CDDECCFE-72E6-43E1-9611-53615AA62DED}"/>
    <cellStyle name="Moneda 119 6" xfId="8372" xr:uid="{572C8F91-0748-43A1-A959-A983E0F60669}"/>
    <cellStyle name="Moneda 12" xfId="43" xr:uid="{00000000-0005-0000-0000-000051000000}"/>
    <cellStyle name="Moneda 12 10" xfId="3202" xr:uid="{41B23CFC-FD98-41B9-AD6D-6B89D814E732}"/>
    <cellStyle name="Moneda 12 10 2" xfId="6206" xr:uid="{9B3C418E-0BA6-48FA-917D-592CA80A953B}"/>
    <cellStyle name="Moneda 12 10 2 2" xfId="13767" xr:uid="{AD30EF10-FE46-444C-AF20-19622082BF27}"/>
    <cellStyle name="Moneda 12 10 3" xfId="7610" xr:uid="{ADD264D7-C902-430B-A22A-B18D8862625E}"/>
    <cellStyle name="Moneda 12 10 3 2" xfId="15139" xr:uid="{4216706F-4593-4872-BCD5-F01A0D734D38}"/>
    <cellStyle name="Moneda 12 10 4" xfId="10784" xr:uid="{4BFDD60C-5BE5-444F-B6E2-C613C65E2436}"/>
    <cellStyle name="Moneda 12 11" xfId="3330" xr:uid="{35EC019A-AFCE-4CD9-91B8-8F28059A19D4}"/>
    <cellStyle name="Moneda 12 11 2" xfId="6332" xr:uid="{61DEAE44-149E-4B6E-B8EE-8E98CC62DA47}"/>
    <cellStyle name="Moneda 12 11 2 2" xfId="13893" xr:uid="{BCE8F0A1-97A9-44AC-8968-9C0EC8379F7F}"/>
    <cellStyle name="Moneda 12 11 3" xfId="7736" xr:uid="{DE63B6BD-5B00-49A9-BFA6-832D9E3C7464}"/>
    <cellStyle name="Moneda 12 11 3 2" xfId="15265" xr:uid="{6EEB4433-3CD0-4F7A-8EB9-EF853B754D81}"/>
    <cellStyle name="Moneda 12 11 4" xfId="10910" xr:uid="{F5D690EF-1043-4490-AD8A-F14F8C8A41F3}"/>
    <cellStyle name="Moneda 12 12" xfId="2326" xr:uid="{589EF72A-F791-4959-933C-EEEE9D3CC4E0}"/>
    <cellStyle name="Moneda 12 12 2" xfId="6468" xr:uid="{EB513F6F-B9E5-4A24-92C6-DB4073655D7C}"/>
    <cellStyle name="Moneda 12 12 2 2" xfId="14024" xr:uid="{B2A4379A-4CF0-46C0-87C2-87A33826427B}"/>
    <cellStyle name="Moneda 12 12 3" xfId="7867" xr:uid="{2E60AA31-FCD1-4FDB-B239-8496C779E6EF}"/>
    <cellStyle name="Moneda 12 12 3 2" xfId="15396" xr:uid="{926B85C6-727F-4CE4-A26B-8D0D00904C8D}"/>
    <cellStyle name="Moneda 12 12 4" xfId="9924" xr:uid="{56497048-BEA3-4DCF-B97B-CB4D6A4D8B00}"/>
    <cellStyle name="Moneda 12 13" xfId="3510" xr:uid="{83966194-B177-47FD-8AE7-69853FC287A4}"/>
    <cellStyle name="Moneda 12 13 2" xfId="11078" xr:uid="{DE4AB055-BF69-41BB-A0A8-C031A10724F5}"/>
    <cellStyle name="Moneda 12 14" xfId="5345" xr:uid="{BECFA7AD-66CF-4B38-9D73-29A3F2AA8006}"/>
    <cellStyle name="Moneda 12 14 2" xfId="12906" xr:uid="{E290545B-C122-4B10-880C-899A8CC595FE}"/>
    <cellStyle name="Moneda 12 15" xfId="6749" xr:uid="{2BFC66C0-2C96-4A5D-AFE6-49EEE65E33E8}"/>
    <cellStyle name="Moneda 12 15 2" xfId="14278" xr:uid="{CA672949-3873-4518-8A73-1486296769BA}"/>
    <cellStyle name="Moneda 12 16" xfId="8158" xr:uid="{0EF00A34-CF14-49E4-9988-2605801C3B98}"/>
    <cellStyle name="Moneda 12 17" xfId="220" xr:uid="{5789F47F-C65B-46BF-B7B6-D30EB90A72D5}"/>
    <cellStyle name="Moneda 12 2" xfId="948" xr:uid="{9CC55FBF-45B9-4E73-94B0-5FE19AA70727}"/>
    <cellStyle name="Moneda 12 2 10" xfId="3359" xr:uid="{A27CAD3D-9434-4471-A588-6A03757421E9}"/>
    <cellStyle name="Moneda 12 2 10 2" xfId="6361" xr:uid="{5E8E39F5-1168-4A1E-8532-F7CDE2897017}"/>
    <cellStyle name="Moneda 12 2 10 2 2" xfId="13922" xr:uid="{03488697-9C90-4247-846E-A77D4F26828F}"/>
    <cellStyle name="Moneda 12 2 10 3" xfId="7765" xr:uid="{E55CF454-6E57-4097-8DF0-B85F06043743}"/>
    <cellStyle name="Moneda 12 2 10 3 2" xfId="15294" xr:uid="{8FB45899-9338-4102-8074-79851D6B4066}"/>
    <cellStyle name="Moneda 12 2 10 4" xfId="10939" xr:uid="{C5B0DFC7-9834-41C5-966B-918CF0853F87}"/>
    <cellStyle name="Moneda 12 2 11" xfId="2361" xr:uid="{77AC37E6-FA92-4DE2-B953-DAA726DFD6A8}"/>
    <cellStyle name="Moneda 12 2 11 2" xfId="6497" xr:uid="{2A930026-F308-4361-B141-02D3A12A08D7}"/>
    <cellStyle name="Moneda 12 2 11 2 2" xfId="14053" xr:uid="{66F7C103-8D4D-41E5-9FF4-4556AC4DFA0B}"/>
    <cellStyle name="Moneda 12 2 11 3" xfId="7896" xr:uid="{DEF6703E-06FF-48DE-ACF8-65E2DDC279BC}"/>
    <cellStyle name="Moneda 12 2 11 3 2" xfId="15425" xr:uid="{2E181C3D-1EA7-4863-8743-DAE50155B515}"/>
    <cellStyle name="Moneda 12 2 11 4" xfId="9954" xr:uid="{6E936D97-9629-475E-8A36-517D5640E4D9}"/>
    <cellStyle name="Moneda 12 2 12" xfId="3985" xr:uid="{E5AA393C-1B18-4A62-B4C6-3C6005D69A19}"/>
    <cellStyle name="Moneda 12 2 12 2" xfId="11553" xr:uid="{7CB9BEFC-EABA-4BFB-82E2-35809B6E5A51}"/>
    <cellStyle name="Moneda 12 2 13" xfId="5376" xr:uid="{90DE6ACB-BAFB-48BF-9FB8-1FE81125750F}"/>
    <cellStyle name="Moneda 12 2 13 2" xfId="12937" xr:uid="{2382D6D8-B46B-4C89-8A02-9711087D7218}"/>
    <cellStyle name="Moneda 12 2 14" xfId="6780" xr:uid="{CD4A1AF6-924D-4BD5-90F5-F23FA3F98135}"/>
    <cellStyle name="Moneda 12 2 14 2" xfId="14309" xr:uid="{0FB6BEAF-DE70-4BF0-9F3A-E509D7EA4F24}"/>
    <cellStyle name="Moneda 12 2 15" xfId="8633" xr:uid="{60D6A218-840D-42AA-9F1B-BC3307E66AEC}"/>
    <cellStyle name="Moneda 12 2 2" xfId="1419" xr:uid="{7F574706-2261-4DCF-847C-4FD7CDC4728B}"/>
    <cellStyle name="Moneda 12 2 2 10" xfId="2424" xr:uid="{691FFC11-ECF4-4818-B369-5B0D60731A16}"/>
    <cellStyle name="Moneda 12 2 2 10 2" xfId="6555" xr:uid="{0CCA2EFD-D01A-4FEB-BF83-A0D7AB75179C}"/>
    <cellStyle name="Moneda 12 2 2 10 2 2" xfId="14111" xr:uid="{45608E37-07E1-4D4C-B971-15B3DE406285}"/>
    <cellStyle name="Moneda 12 2 2 10 3" xfId="7954" xr:uid="{09C07C04-9224-43CE-8F5E-1324571B643F}"/>
    <cellStyle name="Moneda 12 2 2 10 3 2" xfId="15483" xr:uid="{DC0A3C23-BB3F-4E31-805E-0684253E6D66}"/>
    <cellStyle name="Moneda 12 2 2 10 4" xfId="10012" xr:uid="{2F2DD837-6545-4411-B987-6AC5DE8BA238}"/>
    <cellStyle name="Moneda 12 2 2 11" xfId="4379" xr:uid="{B2892CC3-D989-4C44-B490-78B94E9EB19D}"/>
    <cellStyle name="Moneda 12 2 2 11 2" xfId="11947" xr:uid="{2015BCEA-4CAF-43ED-A717-122EDE0E529B}"/>
    <cellStyle name="Moneda 12 2 2 12" xfId="5434" xr:uid="{C4A1FD75-A6E2-44E4-8474-F6466A4C432B}"/>
    <cellStyle name="Moneda 12 2 2 12 2" xfId="12995" xr:uid="{10BA54AE-B1C0-4631-90D4-3436B8830A52}"/>
    <cellStyle name="Moneda 12 2 2 13" xfId="6838" xr:uid="{1412AD6D-5644-4DD1-97B9-575F584F6DB7}"/>
    <cellStyle name="Moneda 12 2 2 13 2" xfId="14367" xr:uid="{863EF1A7-F3ED-4116-B7F4-529D4C80BA1F}"/>
    <cellStyle name="Moneda 12 2 2 14" xfId="9027" xr:uid="{42624841-5BF6-4BC7-B5A4-9677B6B1DA8F}"/>
    <cellStyle name="Moneda 12 2 2 2" xfId="2548" xr:uid="{2C79C019-33CC-4052-958E-E06FF71837C3}"/>
    <cellStyle name="Moneda 12 2 2 2 2" xfId="6690" xr:uid="{0F8B253B-AC13-4C98-86B4-28709854A56D}"/>
    <cellStyle name="Moneda 12 2 2 2 2 2" xfId="8076" xr:uid="{5212E472-E311-4135-9B97-B391F34A5872}"/>
    <cellStyle name="Moneda 12 2 2 2 2 2 2" xfId="15605" xr:uid="{EA50644E-4D8E-451D-BB77-4FF9070DA669}"/>
    <cellStyle name="Moneda 12 2 2 2 2 3" xfId="14233" xr:uid="{9E7F7881-D4F0-4A5B-B5FD-F31F49637EC4}"/>
    <cellStyle name="Moneda 12 2 2 2 3" xfId="5554" xr:uid="{836AF983-BB37-40C0-9D22-BC67D5AF997A}"/>
    <cellStyle name="Moneda 12 2 2 2 3 2" xfId="13115" xr:uid="{EDF16CD3-7AF8-4667-BC9D-D5D5829B3623}"/>
    <cellStyle name="Moneda 12 2 2 2 4" xfId="6958" xr:uid="{272F344B-DDFE-4962-947D-73B81872E294}"/>
    <cellStyle name="Moneda 12 2 2 2 4 2" xfId="14487" xr:uid="{2693810A-88BC-4C73-AB37-6F44BBECCE0B}"/>
    <cellStyle name="Moneda 12 2 2 2 5" xfId="10132" xr:uid="{058F496F-EBF5-40FA-BC58-594D6CBD940E}"/>
    <cellStyle name="Moneda 12 2 2 3" xfId="2669" xr:uid="{F4B16706-5F22-4CEB-8949-DCDA6869FA91}"/>
    <cellStyle name="Moneda 12 2 2 3 2" xfId="5674" xr:uid="{E4135ED7-527A-4F5E-83D7-FC3FB6EAABA0}"/>
    <cellStyle name="Moneda 12 2 2 3 2 2" xfId="13235" xr:uid="{8F8A1D69-CF36-4B4A-BEDC-6D5F54F543EB}"/>
    <cellStyle name="Moneda 12 2 2 3 3" xfId="7078" xr:uid="{52DE3BAE-796D-4463-868D-B1DAE998C76C}"/>
    <cellStyle name="Moneda 12 2 2 3 3 2" xfId="14607" xr:uid="{809EF008-0E48-4194-B4EB-573CC2C9D130}"/>
    <cellStyle name="Moneda 12 2 2 3 4" xfId="10252" xr:uid="{26A50FAB-FE74-42AB-9E87-88CC14330319}"/>
    <cellStyle name="Moneda 12 2 2 4" xfId="2791" xr:uid="{DA991DCD-1ABC-4E15-A6C0-1913CC8AB827}"/>
    <cellStyle name="Moneda 12 2 2 4 2" xfId="5796" xr:uid="{99D3A5C8-ADB1-4169-91E3-EFB3DDB118C0}"/>
    <cellStyle name="Moneda 12 2 2 4 2 2" xfId="13357" xr:uid="{5FC92F62-0A38-4654-BA24-C96531AEE878}"/>
    <cellStyle name="Moneda 12 2 2 4 3" xfId="7200" xr:uid="{7D108091-F35D-4198-9240-D0F5C4F9EFAA}"/>
    <cellStyle name="Moneda 12 2 2 4 3 2" xfId="14729" xr:uid="{81E021FB-8862-4116-A606-89E7478EC56B}"/>
    <cellStyle name="Moneda 12 2 2 4 4" xfId="10374" xr:uid="{448E5AC8-F404-4B08-AF19-263AC867EACB}"/>
    <cellStyle name="Moneda 12 2 2 5" xfId="2916" xr:uid="{940A6EF2-DA30-4B21-8BA8-C243DC20F60A}"/>
    <cellStyle name="Moneda 12 2 2 5 2" xfId="5920" xr:uid="{C25D14B2-6487-48DB-8043-6A97AFB5E087}"/>
    <cellStyle name="Moneda 12 2 2 5 2 2" xfId="13481" xr:uid="{D83C45EC-2C91-46D1-8BF6-E387C538CB97}"/>
    <cellStyle name="Moneda 12 2 2 5 3" xfId="7324" xr:uid="{42BA9E69-0A2D-40B2-99FC-94271632CBE4}"/>
    <cellStyle name="Moneda 12 2 2 5 3 2" xfId="14853" xr:uid="{82BBEEB5-3819-4BA3-B4F2-458E8CAAE380}"/>
    <cellStyle name="Moneda 12 2 2 5 4" xfId="10498" xr:uid="{AB13E4E8-78FA-47BB-91F8-3505178D5203}"/>
    <cellStyle name="Moneda 12 2 2 6" xfId="3040" xr:uid="{99E938C7-A43B-4D93-8FA3-33ACF364CD7C}"/>
    <cellStyle name="Moneda 12 2 2 6 2" xfId="6044" xr:uid="{691E1077-C48C-4F24-9512-050DE01356DA}"/>
    <cellStyle name="Moneda 12 2 2 6 2 2" xfId="13605" xr:uid="{3C6BECBC-C868-49D5-9522-0824BB7C9979}"/>
    <cellStyle name="Moneda 12 2 2 6 3" xfId="7448" xr:uid="{6EBAA9CC-8F12-41D4-8D15-03C90A2398DA}"/>
    <cellStyle name="Moneda 12 2 2 6 3 2" xfId="14977" xr:uid="{92D4C42E-7AC2-4949-8E0F-E35E7308010F}"/>
    <cellStyle name="Moneda 12 2 2 6 4" xfId="10622" xr:uid="{D1D1CF95-EB5E-47C3-A71A-B2041F8FACC3}"/>
    <cellStyle name="Moneda 12 2 2 7" xfId="3164" xr:uid="{DA9ECA9E-E0A4-41A7-B9A3-FA6537B7A367}"/>
    <cellStyle name="Moneda 12 2 2 7 2" xfId="6168" xr:uid="{7D035D0D-1B69-43E1-B094-379C624BB244}"/>
    <cellStyle name="Moneda 12 2 2 7 2 2" xfId="13729" xr:uid="{6FB748A3-3976-4F49-9301-EC4544E0BE51}"/>
    <cellStyle name="Moneda 12 2 2 7 3" xfId="7572" xr:uid="{96B40A3C-7A18-41E8-897C-F0751D655769}"/>
    <cellStyle name="Moneda 12 2 2 7 3 2" xfId="15101" xr:uid="{F3BF0758-AD6E-4FF6-9263-7872480AD1D5}"/>
    <cellStyle name="Moneda 12 2 2 7 4" xfId="10746" xr:uid="{6DEDD5EC-664D-493D-B5AA-2FA6AAA9EBDC}"/>
    <cellStyle name="Moneda 12 2 2 8" xfId="3289" xr:uid="{FF626E3E-1627-49FA-AC3B-1132F2860918}"/>
    <cellStyle name="Moneda 12 2 2 8 2" xfId="6293" xr:uid="{E04C62B1-0AE4-4E58-BB1B-C1F7C7AD4493}"/>
    <cellStyle name="Moneda 12 2 2 8 2 2" xfId="13854" xr:uid="{0387C7DE-AE92-4FF3-AD10-7962882BA0D6}"/>
    <cellStyle name="Moneda 12 2 2 8 3" xfId="7697" xr:uid="{D2C046FF-9D50-495B-92C6-709A6213AE99}"/>
    <cellStyle name="Moneda 12 2 2 8 3 2" xfId="15226" xr:uid="{0DE098A3-A0A7-4197-B9D1-08DF9C7DCC11}"/>
    <cellStyle name="Moneda 12 2 2 8 4" xfId="10871" xr:uid="{AA61D1CA-C20C-414D-8263-9443519811A9}"/>
    <cellStyle name="Moneda 12 2 2 9" xfId="3417" xr:uid="{347776F5-8B50-4A55-810F-CB3896CCDA80}"/>
    <cellStyle name="Moneda 12 2 2 9 2" xfId="6419" xr:uid="{B9A13BC4-3D22-40DC-B89B-8F2DB7F7D840}"/>
    <cellStyle name="Moneda 12 2 2 9 2 2" xfId="13980" xr:uid="{0F8C7455-ABFF-4048-B8F5-070090CAD752}"/>
    <cellStyle name="Moneda 12 2 2 9 3" xfId="7823" xr:uid="{BA2303E1-EC49-433D-BFF0-E686BA5D1FDE}"/>
    <cellStyle name="Moneda 12 2 2 9 3 2" xfId="15352" xr:uid="{F2A06A5D-3C68-4369-B628-045405C34D99}"/>
    <cellStyle name="Moneda 12 2 2 9 4" xfId="10997" xr:uid="{F930C95C-E40C-433D-A459-CAEE2738DB4B}"/>
    <cellStyle name="Moneda 12 2 3" xfId="2490" xr:uid="{E92EEBAE-5FD1-43E7-B3D6-6E30ED7869AB}"/>
    <cellStyle name="Moneda 12 2 3 2" xfId="6632" xr:uid="{6951BE88-D29E-4EF3-9B0E-F58F5DCCACC5}"/>
    <cellStyle name="Moneda 12 2 3 2 2" xfId="8018" xr:uid="{839FA944-1560-4CE2-85F4-C8E7ED02D9E5}"/>
    <cellStyle name="Moneda 12 2 3 2 2 2" xfId="15547" xr:uid="{0709EB40-DD12-4429-8305-CFE0AF045DE5}"/>
    <cellStyle name="Moneda 12 2 3 2 3" xfId="14175" xr:uid="{C4711355-5633-439C-8CDF-141B7D94DBBA}"/>
    <cellStyle name="Moneda 12 2 3 3" xfId="5496" xr:uid="{86ACC12A-6F60-4E79-B18F-BC3ECA67A068}"/>
    <cellStyle name="Moneda 12 2 3 3 2" xfId="13057" xr:uid="{96584F88-3B6B-4D68-8F2B-42A746621134}"/>
    <cellStyle name="Moneda 12 2 3 4" xfId="6900" xr:uid="{1D754429-1910-40DC-B7A1-FDD277F3E511}"/>
    <cellStyle name="Moneda 12 2 3 4 2" xfId="14429" xr:uid="{BD73A22B-9393-4AAE-A7D2-853DF8AB4B1F}"/>
    <cellStyle name="Moneda 12 2 3 5" xfId="10074" xr:uid="{9A8E24A6-3441-4ACA-84DF-46BCC4E5D173}"/>
    <cellStyle name="Moneda 12 2 4" xfId="2611" xr:uid="{78938B9B-3241-4139-9D7D-E34DAE9465EB}"/>
    <cellStyle name="Moneda 12 2 4 2" xfId="5616" xr:uid="{22356394-38F4-450F-9DEE-D286CC1C6018}"/>
    <cellStyle name="Moneda 12 2 4 2 2" xfId="13177" xr:uid="{A7CEE54E-4887-41EB-840D-AE6423CC22BD}"/>
    <cellStyle name="Moneda 12 2 4 3" xfId="7020" xr:uid="{61E6BD12-E88A-48D5-BA24-5A426AE7662B}"/>
    <cellStyle name="Moneda 12 2 4 3 2" xfId="14549" xr:uid="{6D0EBC44-EE89-4815-BE5D-61FF158F24A0}"/>
    <cellStyle name="Moneda 12 2 4 4" xfId="10194" xr:uid="{A689979C-543E-482B-8865-FA6DE047CA2F}"/>
    <cellStyle name="Moneda 12 2 5" xfId="2733" xr:uid="{4DC960CC-76DF-449E-B675-C40A52B8CB0C}"/>
    <cellStyle name="Moneda 12 2 5 2" xfId="5738" xr:uid="{52F1455D-7100-4AC3-919E-E5BF4CCEFDCD}"/>
    <cellStyle name="Moneda 12 2 5 2 2" xfId="13299" xr:uid="{FE1BBA5D-C6B0-4D70-AB73-1831C59B5322}"/>
    <cellStyle name="Moneda 12 2 5 3" xfId="7142" xr:uid="{1D26B64E-C2A4-460A-A047-12EE17BA64CA}"/>
    <cellStyle name="Moneda 12 2 5 3 2" xfId="14671" xr:uid="{B092355F-91AC-4165-BC7C-56D9D640835B}"/>
    <cellStyle name="Moneda 12 2 5 4" xfId="10316" xr:uid="{ABD3C6F7-FB6D-470F-8DD4-D0DDA0940790}"/>
    <cellStyle name="Moneda 12 2 6" xfId="2858" xr:uid="{719BE509-6F79-4C2E-8C2B-D577A97B47DF}"/>
    <cellStyle name="Moneda 12 2 6 2" xfId="5862" xr:uid="{D019CB0C-6FDA-4C41-AACA-35F6FE1EF1F2}"/>
    <cellStyle name="Moneda 12 2 6 2 2" xfId="13423" xr:uid="{78BC6F0C-FDAD-4EDB-9B4E-434BE0748492}"/>
    <cellStyle name="Moneda 12 2 6 3" xfId="7266" xr:uid="{DCEC8E8B-EB98-4495-B9CE-DB9D741C4F2A}"/>
    <cellStyle name="Moneda 12 2 6 3 2" xfId="14795" xr:uid="{DB91994E-BB5E-4DAB-8630-2149A58E9706}"/>
    <cellStyle name="Moneda 12 2 6 4" xfId="10440" xr:uid="{BC9CF7BC-0EF0-49F9-A105-F9B1B044A412}"/>
    <cellStyle name="Moneda 12 2 7" xfId="2982" xr:uid="{22B4DCA0-D8A9-4257-94EB-EAB44F13E588}"/>
    <cellStyle name="Moneda 12 2 7 2" xfId="5986" xr:uid="{F45B5AE1-C330-43F7-8094-557394CA0D9A}"/>
    <cellStyle name="Moneda 12 2 7 2 2" xfId="13547" xr:uid="{162FFBCB-8E8B-4025-B968-EAD7ED9DB7C7}"/>
    <cellStyle name="Moneda 12 2 7 3" xfId="7390" xr:uid="{6CFC6D01-97BD-413D-97F9-1B139DFA596A}"/>
    <cellStyle name="Moneda 12 2 7 3 2" xfId="14919" xr:uid="{83D2DE2B-DEC5-47E1-8E7B-E9014E3D069D}"/>
    <cellStyle name="Moneda 12 2 7 4" xfId="10564" xr:uid="{F1B1B9E9-95DF-428D-A442-506CB662201F}"/>
    <cellStyle name="Moneda 12 2 8" xfId="3106" xr:uid="{F287E80D-40B3-43D1-BA14-F5B94F77D22D}"/>
    <cellStyle name="Moneda 12 2 8 2" xfId="6110" xr:uid="{A489EF0A-F1C4-4C42-89B2-403FD4ADB5C0}"/>
    <cellStyle name="Moneda 12 2 8 2 2" xfId="13671" xr:uid="{08781AF0-3FAF-4E7A-B51E-8A18D846AD38}"/>
    <cellStyle name="Moneda 12 2 8 3" xfId="7514" xr:uid="{D5D2ED03-DB11-4026-8FA6-FBDC210F5C12}"/>
    <cellStyle name="Moneda 12 2 8 3 2" xfId="15043" xr:uid="{E89CAFE5-A306-4F53-A796-39350F302FD8}"/>
    <cellStyle name="Moneda 12 2 8 4" xfId="10688" xr:uid="{CE86736B-2350-498B-ABBA-CB429A4BE84A}"/>
    <cellStyle name="Moneda 12 2 9" xfId="3231" xr:uid="{5E61C102-7E8C-43F5-BFC4-CFD6B3D4AFB0}"/>
    <cellStyle name="Moneda 12 2 9 2" xfId="6235" xr:uid="{7DD9134E-A347-4CBF-84BA-BFBC3325DDD7}"/>
    <cellStyle name="Moneda 12 2 9 2 2" xfId="13796" xr:uid="{5637E483-3B47-4E76-B983-1B7C54B7516C}"/>
    <cellStyle name="Moneda 12 2 9 3" xfId="7639" xr:uid="{12A9272E-213E-452C-BED0-77CB3C7A7AFA}"/>
    <cellStyle name="Moneda 12 2 9 3 2" xfId="15168" xr:uid="{50E30C18-755B-43AA-918A-1B435011F09B}"/>
    <cellStyle name="Moneda 12 2 9 4" xfId="10813" xr:uid="{F5648B0A-C16F-4ABB-9D11-90FA3332486B}"/>
    <cellStyle name="Moneda 12 3" xfId="1081" xr:uid="{2FE87FDD-6526-4131-B26E-A2E7118CA19E}"/>
    <cellStyle name="Moneda 12 3 10" xfId="2395" xr:uid="{961C5181-857F-448C-98AD-15B3D3D109CC}"/>
    <cellStyle name="Moneda 12 3 10 2" xfId="6526" xr:uid="{60D09C32-E9FC-466C-852B-6E0F910F0FD1}"/>
    <cellStyle name="Moneda 12 3 10 2 2" xfId="14082" xr:uid="{07D26335-6947-49A5-8A41-F45335FA5BB9}"/>
    <cellStyle name="Moneda 12 3 10 3" xfId="7925" xr:uid="{CA380682-CBD9-422D-A70E-4C30BD2B7C08}"/>
    <cellStyle name="Moneda 12 3 10 3 2" xfId="15454" xr:uid="{DF517415-EBE7-4C62-9AEB-E832D7DF1D66}"/>
    <cellStyle name="Moneda 12 3 10 4" xfId="9983" xr:uid="{A8EEB47C-1A47-40BE-A181-11D54DBB2BF1}"/>
    <cellStyle name="Moneda 12 3 11" xfId="4041" xr:uid="{87DD2487-748B-43A4-BDB3-04096A353724}"/>
    <cellStyle name="Moneda 12 3 11 2" xfId="11609" xr:uid="{11AD58C5-BA94-49A4-8402-0ACE6A75F7DD}"/>
    <cellStyle name="Moneda 12 3 12" xfId="5405" xr:uid="{671D6ECB-F655-4E2A-B37C-7B5EB22592FE}"/>
    <cellStyle name="Moneda 12 3 12 2" xfId="12966" xr:uid="{31E7A2F0-BD82-4EFC-8444-E3631CB0E6EB}"/>
    <cellStyle name="Moneda 12 3 13" xfId="6809" xr:uid="{09504A07-6468-4AFD-80CF-690E754A71CA}"/>
    <cellStyle name="Moneda 12 3 13 2" xfId="14338" xr:uid="{ADA7079E-59AA-4E7F-9B55-B26E6A0F4BC7}"/>
    <cellStyle name="Moneda 12 3 14" xfId="8689" xr:uid="{640B1B31-3AB3-4555-83DC-C699C067FBD9}"/>
    <cellStyle name="Moneda 12 3 2" xfId="2519" xr:uid="{ADED0550-D552-421A-B33D-D5E04F264E31}"/>
    <cellStyle name="Moneda 12 3 2 2" xfId="6661" xr:uid="{80EFD47E-BEFB-46F9-8FF1-E39C3D8C35E5}"/>
    <cellStyle name="Moneda 12 3 2 2 2" xfId="8047" xr:uid="{BC0ABC35-32CD-412C-9453-60D2258F57E6}"/>
    <cellStyle name="Moneda 12 3 2 2 2 2" xfId="15576" xr:uid="{B74E69DB-E26F-4D18-90AC-8BB89EA27076}"/>
    <cellStyle name="Moneda 12 3 2 2 3" xfId="14204" xr:uid="{B1EADE11-702E-4A82-A27B-295998252E0A}"/>
    <cellStyle name="Moneda 12 3 2 3" xfId="5525" xr:uid="{AB4A36B6-951C-4E09-BB6E-F3A67A8ECACD}"/>
    <cellStyle name="Moneda 12 3 2 3 2" xfId="13086" xr:uid="{F25EEC03-953B-4B86-85EA-B0C9CE06FAE9}"/>
    <cellStyle name="Moneda 12 3 2 4" xfId="6929" xr:uid="{FE41C45E-BA35-43EC-A148-1136262CFF8D}"/>
    <cellStyle name="Moneda 12 3 2 4 2" xfId="14458" xr:uid="{186B3619-F94D-4338-A414-B83F21D918F3}"/>
    <cellStyle name="Moneda 12 3 2 5" xfId="10103" xr:uid="{A51E1F63-E09C-41F1-BA69-98F2F0519887}"/>
    <cellStyle name="Moneda 12 3 3" xfId="2640" xr:uid="{71814A1A-5946-4CC8-B0FC-9B6EC08F08D1}"/>
    <cellStyle name="Moneda 12 3 3 2" xfId="5645" xr:uid="{7D927007-07B7-4C7C-92B3-1B0098127721}"/>
    <cellStyle name="Moneda 12 3 3 2 2" xfId="13206" xr:uid="{22F5CC9F-265D-4970-8D57-150FA76448A8}"/>
    <cellStyle name="Moneda 12 3 3 3" xfId="7049" xr:uid="{860A741A-6337-413F-A0C7-9CF88630E788}"/>
    <cellStyle name="Moneda 12 3 3 3 2" xfId="14578" xr:uid="{DF6A5A9D-575A-46E6-9CF4-26960D2AC4F4}"/>
    <cellStyle name="Moneda 12 3 3 4" xfId="10223" xr:uid="{E33A32A3-6A34-492E-912F-1E30ADBAE48E}"/>
    <cellStyle name="Moneda 12 3 4" xfId="2762" xr:uid="{B46045E4-360B-4469-AFA5-3102E2A984CC}"/>
    <cellStyle name="Moneda 12 3 4 2" xfId="5767" xr:uid="{E5650CDD-7BEA-4A8D-AAB7-F0E9FCBE5832}"/>
    <cellStyle name="Moneda 12 3 4 2 2" xfId="13328" xr:uid="{92421CF2-F488-441C-B521-3E389EEA39E0}"/>
    <cellStyle name="Moneda 12 3 4 3" xfId="7171" xr:uid="{58F02E74-6826-46CF-AE69-27B177805848}"/>
    <cellStyle name="Moneda 12 3 4 3 2" xfId="14700" xr:uid="{8BA912CB-E49B-4D65-8FBA-230539743F73}"/>
    <cellStyle name="Moneda 12 3 4 4" xfId="10345" xr:uid="{3E9E4344-422A-439C-8FA3-220CE072AA0E}"/>
    <cellStyle name="Moneda 12 3 5" xfId="2887" xr:uid="{84750917-EFF6-4166-BB61-5081E3D31573}"/>
    <cellStyle name="Moneda 12 3 5 2" xfId="5891" xr:uid="{DFCCC987-9AE0-4855-9C07-F99994CB5536}"/>
    <cellStyle name="Moneda 12 3 5 2 2" xfId="13452" xr:uid="{5D951B28-6588-4B87-A1D5-7D0F626922E7}"/>
    <cellStyle name="Moneda 12 3 5 3" xfId="7295" xr:uid="{5811A669-7E8E-43D1-8B0E-AA522D97D405}"/>
    <cellStyle name="Moneda 12 3 5 3 2" xfId="14824" xr:uid="{57A306BE-F23C-4897-9F77-8134BB6C95DD}"/>
    <cellStyle name="Moneda 12 3 5 4" xfId="10469" xr:uid="{2BDAA4DF-0C57-482F-B610-75A66A7CC7AD}"/>
    <cellStyle name="Moneda 12 3 6" xfId="3011" xr:uid="{451863AC-FC6A-45FB-9B15-28B15A5A8F28}"/>
    <cellStyle name="Moneda 12 3 6 2" xfId="6015" xr:uid="{E5480DA1-D1E3-4E0E-AE4C-FD4ABE493C29}"/>
    <cellStyle name="Moneda 12 3 6 2 2" xfId="13576" xr:uid="{57D87B8A-DE72-41E9-AECA-B5E63E54A57C}"/>
    <cellStyle name="Moneda 12 3 6 3" xfId="7419" xr:uid="{EC3DE2E5-DD66-436A-97E3-9B180E643DFA}"/>
    <cellStyle name="Moneda 12 3 6 3 2" xfId="14948" xr:uid="{28EC0FDD-4CA9-487A-88D2-4B56FDD9A655}"/>
    <cellStyle name="Moneda 12 3 6 4" xfId="10593" xr:uid="{B5EB00DF-87BB-4742-AF51-740EB9CACD83}"/>
    <cellStyle name="Moneda 12 3 7" xfId="3135" xr:uid="{99A73D03-2C55-4083-B6B5-7EAFF89BD00C}"/>
    <cellStyle name="Moneda 12 3 7 2" xfId="6139" xr:uid="{1FD8BE5F-DA2A-4E8A-AECE-F861E4718549}"/>
    <cellStyle name="Moneda 12 3 7 2 2" xfId="13700" xr:uid="{A348C184-AF83-4CE8-BAD3-E68C8743BFCB}"/>
    <cellStyle name="Moneda 12 3 7 3" xfId="7543" xr:uid="{F2F2B7F2-07BF-4560-8BD6-9156048548F7}"/>
    <cellStyle name="Moneda 12 3 7 3 2" xfId="15072" xr:uid="{E4537323-543D-421C-8ADF-F6C98B217D69}"/>
    <cellStyle name="Moneda 12 3 7 4" xfId="10717" xr:uid="{BC727C53-5747-4123-9F66-5030D1F8B055}"/>
    <cellStyle name="Moneda 12 3 8" xfId="3260" xr:uid="{EA14C915-883C-4C23-A29D-F8E308BBC1CC}"/>
    <cellStyle name="Moneda 12 3 8 2" xfId="6264" xr:uid="{7470BBF5-81A3-49C1-86CF-612CF6FB2F55}"/>
    <cellStyle name="Moneda 12 3 8 2 2" xfId="13825" xr:uid="{F6D9FB39-DB10-439E-984E-6577E81454F8}"/>
    <cellStyle name="Moneda 12 3 8 3" xfId="7668" xr:uid="{6C3298CE-1E15-4BD8-AE62-1020605A2260}"/>
    <cellStyle name="Moneda 12 3 8 3 2" xfId="15197" xr:uid="{7D2A78FB-C1A2-4EA2-BA87-758462BC0F22}"/>
    <cellStyle name="Moneda 12 3 8 4" xfId="10842" xr:uid="{5E0A27BD-97A3-4D80-B601-DF15753FD79C}"/>
    <cellStyle name="Moneda 12 3 9" xfId="3388" xr:uid="{D66A488D-D2B6-441A-B1B0-8776E720534D}"/>
    <cellStyle name="Moneda 12 3 9 2" xfId="6390" xr:uid="{9D796C10-03FA-4CA4-8DC2-F18AA7B9F5C9}"/>
    <cellStyle name="Moneda 12 3 9 2 2" xfId="13951" xr:uid="{F98E2AAB-B79E-4538-9E3C-B6AB4CC8AB47}"/>
    <cellStyle name="Moneda 12 3 9 3" xfId="7794" xr:uid="{79160185-DEBE-45E8-9EA4-2E332E2827D4}"/>
    <cellStyle name="Moneda 12 3 9 3 2" xfId="15323" xr:uid="{65C4ED01-3124-4327-9173-45C228A68497}"/>
    <cellStyle name="Moneda 12 3 9 4" xfId="10968" xr:uid="{46CBE621-0980-4B85-AFC7-9A373042D1F0}"/>
    <cellStyle name="Moneda 12 4" xfId="1445" xr:uid="{9EF22FBE-2433-4150-B7F3-0B3DD2C44A01}"/>
    <cellStyle name="Moneda 12 4 2" xfId="2460" xr:uid="{0B970E68-032E-466F-B9DE-287381CE6A98}"/>
    <cellStyle name="Moneda 12 4 2 2" xfId="6593" xr:uid="{9981234F-CA1F-4688-B5A0-922FF41F20D3}"/>
    <cellStyle name="Moneda 12 4 2 2 2" xfId="14146" xr:uid="{31A93E17-1B88-438D-9AF7-225B7E924637}"/>
    <cellStyle name="Moneda 12 4 2 3" xfId="7989" xr:uid="{836B52E9-1879-47B1-87C8-6C369C0EF0E9}"/>
    <cellStyle name="Moneda 12 4 2 3 2" xfId="15518" xr:uid="{D27756CD-8B2E-49D9-96DB-E6FF519C30AE}"/>
    <cellStyle name="Moneda 12 4 2 4" xfId="10044" xr:uid="{CF0DEA9F-00CD-43D5-B459-75E353859932}"/>
    <cellStyle name="Moneda 12 4 3" xfId="4405" xr:uid="{C2C672F3-E095-4DA2-85FA-63C5FCABF7BB}"/>
    <cellStyle name="Moneda 12 4 3 2" xfId="11973" xr:uid="{5B81A28E-E8BF-4B03-BEDE-DBD0D12B0476}"/>
    <cellStyle name="Moneda 12 4 4" xfId="5466" xr:uid="{BC91EE48-0EA3-4A29-98AC-3FEC93B5D370}"/>
    <cellStyle name="Moneda 12 4 4 2" xfId="13027" xr:uid="{AECD577E-838B-45B9-9167-3ACDD109645E}"/>
    <cellStyle name="Moneda 12 4 5" xfId="6870" xr:uid="{10157B2D-EF6A-4ADD-89B6-FB745C64B6B9}"/>
    <cellStyle name="Moneda 12 4 5 2" xfId="14399" xr:uid="{51482934-C9EC-4EA2-9AE0-5E67C6383787}"/>
    <cellStyle name="Moneda 12 4 6" xfId="9053" xr:uid="{581BB293-0047-4F63-BCD2-301754CCA7E0}"/>
    <cellStyle name="Moneda 12 5" xfId="1824" xr:uid="{B172F025-6B99-4A76-939A-CADF37FD5ECC}"/>
    <cellStyle name="Moneda 12 5 2" xfId="2582" xr:uid="{7CC7B91F-7EE3-4AF2-B461-9E55B2011BD4}"/>
    <cellStyle name="Moneda 12 5 2 2" xfId="10165" xr:uid="{78D9AAF2-F809-4852-B771-060CFC6F41F2}"/>
    <cellStyle name="Moneda 12 5 3" xfId="4783" xr:uid="{664553F4-1674-42DC-AAAB-73A14A3741AC}"/>
    <cellStyle name="Moneda 12 5 3 2" xfId="12351" xr:uid="{01FB854D-CE9E-4B31-AA29-72F0D12EB06E}"/>
    <cellStyle name="Moneda 12 5 4" xfId="5587" xr:uid="{00EFA005-7C44-4073-8160-147C8F336AFE}"/>
    <cellStyle name="Moneda 12 5 4 2" xfId="13148" xr:uid="{1225E866-4D6A-40AB-8578-25F5A6B5FC1F}"/>
    <cellStyle name="Moneda 12 5 5" xfId="6991" xr:uid="{A6F61F3A-F055-4088-8908-454ED4737B1A}"/>
    <cellStyle name="Moneda 12 5 5 2" xfId="14520" xr:uid="{A5367DB9-065D-479C-97BA-C493C4D6AA7D}"/>
    <cellStyle name="Moneda 12 5 6" xfId="9431" xr:uid="{ED73A8A3-6358-4CB9-BC01-B42713A20474}"/>
    <cellStyle name="Moneda 12 6" xfId="2704" xr:uid="{D00CDEC2-714E-4374-9871-479CB928B70E}"/>
    <cellStyle name="Moneda 12 6 2" xfId="5709" xr:uid="{09D7FD51-1DC1-4C2D-8A2F-B552D68474BF}"/>
    <cellStyle name="Moneda 12 6 2 2" xfId="13270" xr:uid="{B13333BB-BCAC-4291-9738-A961CD050D7E}"/>
    <cellStyle name="Moneda 12 6 3" xfId="7113" xr:uid="{121FC18F-0D58-4A36-9B39-796894832B91}"/>
    <cellStyle name="Moneda 12 6 3 2" xfId="14642" xr:uid="{16893BA9-7C37-478C-ACB2-F303EC1D64F6}"/>
    <cellStyle name="Moneda 12 6 4" xfId="10287" xr:uid="{362054B3-F2FB-48FB-A930-BF3ABCD82F00}"/>
    <cellStyle name="Moneda 12 7" xfId="2829" xr:uid="{A3EB7BDC-6E57-4A0E-81CD-271598147761}"/>
    <cellStyle name="Moneda 12 7 2" xfId="5833" xr:uid="{DB5CA6C4-0FF7-4005-A753-C7C415113F51}"/>
    <cellStyle name="Moneda 12 7 2 2" xfId="13394" xr:uid="{B8E75CEB-F41C-4C65-9F2C-EC3CCA9F3DE4}"/>
    <cellStyle name="Moneda 12 7 3" xfId="7237" xr:uid="{430DFB93-EDD8-4C33-AB83-A11D1C4B2FAF}"/>
    <cellStyle name="Moneda 12 7 3 2" xfId="14766" xr:uid="{E66D75CD-346E-4158-B131-DCE293944201}"/>
    <cellStyle name="Moneda 12 7 4" xfId="10411" xr:uid="{12B85491-8C13-4A4D-A9A5-24057B09AC72}"/>
    <cellStyle name="Moneda 12 8" xfId="2953" xr:uid="{771339E7-3C23-4256-A14D-102127006041}"/>
    <cellStyle name="Moneda 12 8 2" xfId="5957" xr:uid="{F6FF521D-3FA5-478E-97AC-7C1A6069C084}"/>
    <cellStyle name="Moneda 12 8 2 2" xfId="13518" xr:uid="{E4EBCD78-2D37-4EB0-8D12-DDE56D6C06E3}"/>
    <cellStyle name="Moneda 12 8 3" xfId="7361" xr:uid="{7CCDF5E3-510F-4EBD-B868-35FEAD9B5B46}"/>
    <cellStyle name="Moneda 12 8 3 2" xfId="14890" xr:uid="{A43D8132-EE11-409A-88D9-D01F9641E8D1}"/>
    <cellStyle name="Moneda 12 8 4" xfId="10535" xr:uid="{F03CEE59-50C2-4D12-98E0-A0391EAC4227}"/>
    <cellStyle name="Moneda 12 9" xfId="3077" xr:uid="{C652BA06-8BCB-4C63-9EEE-81EEE68B1162}"/>
    <cellStyle name="Moneda 12 9 2" xfId="6081" xr:uid="{46A5C974-04FC-49C7-B89A-CA82B6A96C30}"/>
    <cellStyle name="Moneda 12 9 2 2" xfId="13642" xr:uid="{FF923828-53C1-48B3-8FD4-4D9F20DECC27}"/>
    <cellStyle name="Moneda 12 9 3" xfId="7485" xr:uid="{4CD2FB80-5CA5-4DE3-88E1-527E1A9AD80E}"/>
    <cellStyle name="Moneda 12 9 3 2" xfId="15014" xr:uid="{F0EC59D4-72A9-4161-B6C8-DB6211783745}"/>
    <cellStyle name="Moneda 12 9 4" xfId="10659" xr:uid="{3B55B516-DBE2-464A-B2C8-CA2E0FC188BC}"/>
    <cellStyle name="Moneda 120" xfId="545" xr:uid="{DBAAAA75-A2AD-43AF-A9C8-2B3054C6FA3D}"/>
    <cellStyle name="Moneda 120 2" xfId="1297" xr:uid="{A1F5C1D1-9D40-46A1-8221-5ACEE68F4B2D}"/>
    <cellStyle name="Moneda 120 2 2" xfId="4257" xr:uid="{4D5D49BD-8C11-4D19-989F-0582E2061860}"/>
    <cellStyle name="Moneda 120 2 2 2" xfId="11825" xr:uid="{1256CA32-28D8-4882-AFD3-9222C9A3F7E4}"/>
    <cellStyle name="Moneda 120 2 3" xfId="8905" xr:uid="{C83A3AE0-BE16-4EBF-9F95-02E520FB9548}"/>
    <cellStyle name="Moneda 120 3" xfId="1661" xr:uid="{CB85E059-377E-4F3B-AAB9-A089818A9E21}"/>
    <cellStyle name="Moneda 120 3 2" xfId="4621" xr:uid="{7DA974E0-0570-4FEF-9AF8-00D1BD04AB28}"/>
    <cellStyle name="Moneda 120 3 2 2" xfId="12189" xr:uid="{C9E1E919-52A6-462C-B657-478C5A07C8D1}"/>
    <cellStyle name="Moneda 120 3 3" xfId="9269" xr:uid="{2F179B47-B91C-4ADF-AB43-E93C158747EE}"/>
    <cellStyle name="Moneda 120 4" xfId="2040" xr:uid="{3442102B-3208-4C0F-99FE-576486C7ADAE}"/>
    <cellStyle name="Moneda 120 4 2" xfId="4999" xr:uid="{F48F2ED2-9389-46D5-9F65-C4A8DC333ACB}"/>
    <cellStyle name="Moneda 120 4 2 2" xfId="12567" xr:uid="{9411DD54-6EC2-42B3-A70B-C1769B66C872}"/>
    <cellStyle name="Moneda 120 4 3" xfId="9647" xr:uid="{F8B46C3A-DC55-461A-969B-8171E0EF7A37}"/>
    <cellStyle name="Moneda 120 5" xfId="3726" xr:uid="{AB820C59-5A1A-425C-9DAA-A3CD6B8FB4CB}"/>
    <cellStyle name="Moneda 120 5 2" xfId="11294" xr:uid="{C1F662AE-5EED-4ACA-A83C-960484D5603F}"/>
    <cellStyle name="Moneda 120 6" xfId="8374" xr:uid="{1DB7A7AB-FD6F-4FC4-95BC-0866CD43D1FB}"/>
    <cellStyle name="Moneda 121" xfId="548" xr:uid="{CCC4ABD1-3314-4241-AD97-0109E58B48C6}"/>
    <cellStyle name="Moneda 121 2" xfId="1299" xr:uid="{DA48FE08-8296-4B69-98ED-355B32AAA58F}"/>
    <cellStyle name="Moneda 121 2 2" xfId="4259" xr:uid="{CC09F199-684C-4D20-9CFE-AF54523D015B}"/>
    <cellStyle name="Moneda 121 2 2 2" xfId="11827" xr:uid="{3E02388A-8DE4-4F9B-9DAE-45D6B03F14E7}"/>
    <cellStyle name="Moneda 121 2 3" xfId="8907" xr:uid="{3687E931-7AE0-48A6-B6A6-CF0292ACBFC4}"/>
    <cellStyle name="Moneda 121 3" xfId="1663" xr:uid="{A1BAD1BD-8640-47BD-A5D6-4970CC59EB10}"/>
    <cellStyle name="Moneda 121 3 2" xfId="4623" xr:uid="{57D7B1A7-2978-4CC8-8053-ABC5AB3DEED7}"/>
    <cellStyle name="Moneda 121 3 2 2" xfId="12191" xr:uid="{305F768C-BF86-42DD-9E77-47814899A734}"/>
    <cellStyle name="Moneda 121 3 3" xfId="9271" xr:uid="{A23A9396-E1B6-4ACF-A257-D9D1C344A5D2}"/>
    <cellStyle name="Moneda 121 4" xfId="2042" xr:uid="{C48F5D90-2A7F-4027-B64D-F38EF078CA7A}"/>
    <cellStyle name="Moneda 121 4 2" xfId="5001" xr:uid="{D88A8216-0C02-4B63-A74B-5EF6087BD576}"/>
    <cellStyle name="Moneda 121 4 2 2" xfId="12569" xr:uid="{AA779C79-18D9-4AB5-9188-974C04DE8551}"/>
    <cellStyle name="Moneda 121 4 3" xfId="9649" xr:uid="{248281AA-CEC5-4B18-8B8F-792F6F13BDD7}"/>
    <cellStyle name="Moneda 121 5" xfId="3728" xr:uid="{04007302-C83F-4F2B-8335-B9FCD8DB2621}"/>
    <cellStyle name="Moneda 121 5 2" xfId="11296" xr:uid="{BC305315-ED90-4959-8FE0-C09810E1AF99}"/>
    <cellStyle name="Moneda 121 6" xfId="8376" xr:uid="{1A320BAF-BC6D-4BCE-A386-1911CAA9142F}"/>
    <cellStyle name="Moneda 122" xfId="551" xr:uid="{FC2AAED0-411F-4C9C-9C3C-465EAA54EFE0}"/>
    <cellStyle name="Moneda 122 2" xfId="1301" xr:uid="{3C26EE1A-6D0B-47AC-B450-3BB3FF61CE43}"/>
    <cellStyle name="Moneda 122 2 2" xfId="4261" xr:uid="{8A3B053C-C94F-49DD-9AFB-0D2926155458}"/>
    <cellStyle name="Moneda 122 2 2 2" xfId="11829" xr:uid="{57F018F9-6DB3-4C17-80C5-4434CC76FA66}"/>
    <cellStyle name="Moneda 122 2 3" xfId="8909" xr:uid="{317875A2-D7F0-4DB9-9A4A-04F0CB529734}"/>
    <cellStyle name="Moneda 122 3" xfId="1665" xr:uid="{E37A0C05-67BA-45F6-AF4C-7132180C9FDD}"/>
    <cellStyle name="Moneda 122 3 2" xfId="4625" xr:uid="{36BE4D4A-148E-4D94-ACE4-79C75B757F93}"/>
    <cellStyle name="Moneda 122 3 2 2" xfId="12193" xr:uid="{07E14DA6-E850-41A1-8795-943E6CE53A9B}"/>
    <cellStyle name="Moneda 122 3 3" xfId="9273" xr:uid="{BB32886B-A2A0-44F1-BB3F-B782CBCBC4C6}"/>
    <cellStyle name="Moneda 122 4" xfId="2044" xr:uid="{584E71E2-17E3-4D3B-AB28-9B2F26AE976B}"/>
    <cellStyle name="Moneda 122 4 2" xfId="5003" xr:uid="{DEBFF0EE-8FAC-473D-B80F-5D80C35910CD}"/>
    <cellStyle name="Moneda 122 4 2 2" xfId="12571" xr:uid="{321681F7-84E6-412E-823A-8640B2D621B6}"/>
    <cellStyle name="Moneda 122 4 3" xfId="9651" xr:uid="{F7C521D9-C0AD-4D65-918C-CAD8CDE0BCBA}"/>
    <cellStyle name="Moneda 122 5" xfId="3730" xr:uid="{368AE0B8-C344-4475-8F52-9E8935B14B52}"/>
    <cellStyle name="Moneda 122 5 2" xfId="11298" xr:uid="{7F68D8B1-4286-43CA-AC75-FFA7792A878F}"/>
    <cellStyle name="Moneda 122 6" xfId="8378" xr:uid="{C5267826-EAF8-4150-A413-1FD6DC323AA6}"/>
    <cellStyle name="Moneda 123" xfId="554" xr:uid="{E2DCD4F6-B93D-47A1-A42E-C124F9B7A5E0}"/>
    <cellStyle name="Moneda 123 2" xfId="1303" xr:uid="{AB351A7C-5423-404B-8BC4-52698C4FE4CB}"/>
    <cellStyle name="Moneda 123 2 2" xfId="4263" xr:uid="{445EB42B-CCBD-4B3F-834A-898758F6EDDE}"/>
    <cellStyle name="Moneda 123 2 2 2" xfId="11831" xr:uid="{1ED21B5C-AD6F-4CF5-BC6A-4487A756AAD3}"/>
    <cellStyle name="Moneda 123 2 3" xfId="8911" xr:uid="{E29DB8AA-5038-4F68-B5FA-66BF98E9C70B}"/>
    <cellStyle name="Moneda 123 3" xfId="1667" xr:uid="{D1BB15EA-F4F5-4C62-886E-2E498AD29B33}"/>
    <cellStyle name="Moneda 123 3 2" xfId="4627" xr:uid="{74072A3C-517C-426D-8AF4-B883847D100D}"/>
    <cellStyle name="Moneda 123 3 2 2" xfId="12195" xr:uid="{7D497A3D-0651-4ACA-892C-DB2CC470B40F}"/>
    <cellStyle name="Moneda 123 3 3" xfId="9275" xr:uid="{67021A5D-BC34-4F13-BA00-068AB32BCE36}"/>
    <cellStyle name="Moneda 123 4" xfId="2046" xr:uid="{01BCD81B-74F3-4106-BD78-C82AFCAB4C3E}"/>
    <cellStyle name="Moneda 123 4 2" xfId="5005" xr:uid="{1C10D84B-740A-4916-A3E8-4BF68BC35051}"/>
    <cellStyle name="Moneda 123 4 2 2" xfId="12573" xr:uid="{1ECFC06A-4B41-44D4-A6FC-586A009F1F79}"/>
    <cellStyle name="Moneda 123 4 3" xfId="9653" xr:uid="{B220A135-93D3-4DEB-BEBF-FC1FD106AB11}"/>
    <cellStyle name="Moneda 123 5" xfId="3732" xr:uid="{B6C57C6F-2FCE-4F9C-93A4-FD8310A92C69}"/>
    <cellStyle name="Moneda 123 5 2" xfId="11300" xr:uid="{A963BE3C-5E6D-4565-AB3E-5DF3974A1415}"/>
    <cellStyle name="Moneda 123 6" xfId="8380" xr:uid="{5D193DD9-D2EB-467A-8217-703A651C75AD}"/>
    <cellStyle name="Moneda 124" xfId="557" xr:uid="{CA9F9A84-F832-40D2-8A4F-1B2FEA0D3720}"/>
    <cellStyle name="Moneda 124 2" xfId="1305" xr:uid="{BB9B925C-04A6-43D3-ACD3-E81AB03B5499}"/>
    <cellStyle name="Moneda 124 2 2" xfId="4265" xr:uid="{6977D253-943F-4068-B58D-4A61FBBC8D4B}"/>
    <cellStyle name="Moneda 124 2 2 2" xfId="11833" xr:uid="{8A20516B-B0F5-416D-A319-38C77AAE765A}"/>
    <cellStyle name="Moneda 124 2 3" xfId="8913" xr:uid="{52B77763-D970-44AF-B507-8C3069EE6858}"/>
    <cellStyle name="Moneda 124 3" xfId="1669" xr:uid="{8B99F66E-15A1-40E7-8565-A3C19BA49A1D}"/>
    <cellStyle name="Moneda 124 3 2" xfId="4629" xr:uid="{8BD595E9-4567-4008-87C2-DCE98614A6D4}"/>
    <cellStyle name="Moneda 124 3 2 2" xfId="12197" xr:uid="{015FE354-D718-450A-BD33-C60B3255A51D}"/>
    <cellStyle name="Moneda 124 3 3" xfId="9277" xr:uid="{F195D06E-6C99-4823-B8A4-8E43AC9E3784}"/>
    <cellStyle name="Moneda 124 4" xfId="2048" xr:uid="{DCC5D2EF-E29C-4243-89BF-E90700A7BE86}"/>
    <cellStyle name="Moneda 124 4 2" xfId="5007" xr:uid="{CD627447-9DD0-405B-BED6-5EF24C4113BB}"/>
    <cellStyle name="Moneda 124 4 2 2" xfId="12575" xr:uid="{B1CF900A-E837-4877-A711-355098927E61}"/>
    <cellStyle name="Moneda 124 4 3" xfId="9655" xr:uid="{1E8A3AE5-6B8A-4854-9345-2603B108E1F0}"/>
    <cellStyle name="Moneda 124 5" xfId="3734" xr:uid="{898BE6C9-1428-4211-9787-A751DE81F0F6}"/>
    <cellStyle name="Moneda 124 5 2" xfId="11302" xr:uid="{54EA673B-F465-46C1-B701-B207AD93A823}"/>
    <cellStyle name="Moneda 124 6" xfId="8382" xr:uid="{110DC133-02CD-4411-B59D-F32274F9EB12}"/>
    <cellStyle name="Moneda 125" xfId="560" xr:uid="{D7D0361F-5AAB-4D73-8658-7A84364E00A8}"/>
    <cellStyle name="Moneda 125 2" xfId="1307" xr:uid="{A533C30F-578B-4BFA-A2D1-D551F321054D}"/>
    <cellStyle name="Moneda 125 2 2" xfId="4267" xr:uid="{1EB5592F-ACB6-443E-9D15-93750C7AAC38}"/>
    <cellStyle name="Moneda 125 2 2 2" xfId="11835" xr:uid="{B3E649A6-CF14-485D-86A7-4F0B9D9AB799}"/>
    <cellStyle name="Moneda 125 2 3" xfId="8915" xr:uid="{7DDE7287-3C8E-4461-B275-CE6BA8642374}"/>
    <cellStyle name="Moneda 125 3" xfId="1671" xr:uid="{55E913B6-42AC-43A3-A68F-8CEF498A0E0A}"/>
    <cellStyle name="Moneda 125 3 2" xfId="4631" xr:uid="{44008A82-B453-4882-8FF4-E0DAE65E26A5}"/>
    <cellStyle name="Moneda 125 3 2 2" xfId="12199" xr:uid="{E58B2046-23ED-4431-9410-A163D63953B2}"/>
    <cellStyle name="Moneda 125 3 3" xfId="9279" xr:uid="{3C57336A-4F83-4919-8B50-F97C43D622BD}"/>
    <cellStyle name="Moneda 125 4" xfId="2050" xr:uid="{3BE3CEC7-58ED-458C-94F9-51FCE775759F}"/>
    <cellStyle name="Moneda 125 4 2" xfId="5009" xr:uid="{EFA50591-E2E8-48A5-B065-F695F0ED9D5D}"/>
    <cellStyle name="Moneda 125 4 2 2" xfId="12577" xr:uid="{AEC09FA9-702D-45B6-B2C7-89CD1C083F08}"/>
    <cellStyle name="Moneda 125 4 3" xfId="9657" xr:uid="{756D6443-E9DE-4956-812B-DFD3021A030C}"/>
    <cellStyle name="Moneda 125 5" xfId="3736" xr:uid="{82DEE51A-4C24-4AD4-A90A-A190A7EF7416}"/>
    <cellStyle name="Moneda 125 5 2" xfId="11304" xr:uid="{93BB740F-4369-4060-9075-103B7D25963F}"/>
    <cellStyle name="Moneda 125 6" xfId="8384" xr:uid="{0F93BDCA-1B97-49CC-A62C-18FB50797558}"/>
    <cellStyle name="Moneda 126" xfId="563" xr:uid="{95EAF187-8C9C-45FA-A8C5-C9FFD8FB991D}"/>
    <cellStyle name="Moneda 126 2" xfId="1309" xr:uid="{EE6F9671-7940-4AC6-8FDE-07EF108285F2}"/>
    <cellStyle name="Moneda 126 2 2" xfId="4269" xr:uid="{C06655F8-6DAF-4A7F-BAB5-921FAA9D761B}"/>
    <cellStyle name="Moneda 126 2 2 2" xfId="11837" xr:uid="{4DDD6B28-D2EB-4D6F-98EF-B174E8E7B4C8}"/>
    <cellStyle name="Moneda 126 2 3" xfId="8917" xr:uid="{A80C2528-1136-4990-B17E-17001459200A}"/>
    <cellStyle name="Moneda 126 3" xfId="1673" xr:uid="{2F18720F-70D8-4590-BB9C-0E53B2424238}"/>
    <cellStyle name="Moneda 126 3 2" xfId="4633" xr:uid="{350ADDAA-01E2-4E18-BE23-00AA0844604E}"/>
    <cellStyle name="Moneda 126 3 2 2" xfId="12201" xr:uid="{533CA6B5-379A-4C3C-8EDC-00EAA8018936}"/>
    <cellStyle name="Moneda 126 3 3" xfId="9281" xr:uid="{AB093ADE-17CD-4D8F-8AA0-C51A0C417390}"/>
    <cellStyle name="Moneda 126 4" xfId="2052" xr:uid="{3515ECE2-E693-4A2A-B5D3-BF4B19FC3170}"/>
    <cellStyle name="Moneda 126 4 2" xfId="5011" xr:uid="{5DE96A66-F162-441E-998A-489AD520D7B0}"/>
    <cellStyle name="Moneda 126 4 2 2" xfId="12579" xr:uid="{0916925D-AD00-434B-9515-516179FEB72B}"/>
    <cellStyle name="Moneda 126 4 3" xfId="9659" xr:uid="{8E89E6E9-EA66-490F-B23D-10EDC8F1A80C}"/>
    <cellStyle name="Moneda 126 5" xfId="3738" xr:uid="{6E5B9A84-4530-4746-B223-ECFF800FCD5D}"/>
    <cellStyle name="Moneda 126 5 2" xfId="11306" xr:uid="{8CD3EA45-63B2-4075-8833-21EC31B38880}"/>
    <cellStyle name="Moneda 126 6" xfId="8386" xr:uid="{6732B1DC-7C3F-46F1-B512-59DB085B5FF2}"/>
    <cellStyle name="Moneda 127" xfId="566" xr:uid="{F6BC0A24-A3B4-489C-BA8A-2085A7586436}"/>
    <cellStyle name="Moneda 127 2" xfId="1311" xr:uid="{2F5A9F32-8358-45AC-8E04-8651D9CD98A9}"/>
    <cellStyle name="Moneda 127 2 2" xfId="4271" xr:uid="{2D54C855-E15A-4B43-839A-1722F5420293}"/>
    <cellStyle name="Moneda 127 2 2 2" xfId="11839" xr:uid="{B23C3816-A927-4C0F-B225-C082AF447101}"/>
    <cellStyle name="Moneda 127 2 3" xfId="8919" xr:uid="{A0CED86B-E9C7-4E2E-B22E-AF110C412F79}"/>
    <cellStyle name="Moneda 127 3" xfId="1675" xr:uid="{E8E37F8E-3CD6-4170-8301-336C9B037F0C}"/>
    <cellStyle name="Moneda 127 3 2" xfId="4635" xr:uid="{0726932E-A8BE-4368-912B-1118DF74AB77}"/>
    <cellStyle name="Moneda 127 3 2 2" xfId="12203" xr:uid="{EFDA45A7-0FC6-497B-AC56-EAF8B47E4DD1}"/>
    <cellStyle name="Moneda 127 3 3" xfId="9283" xr:uid="{AEFD36F0-AA90-48B8-94F3-C1CCA651A35F}"/>
    <cellStyle name="Moneda 127 4" xfId="2054" xr:uid="{02CF6913-8318-44C7-9915-7BE56F502CD5}"/>
    <cellStyle name="Moneda 127 4 2" xfId="5013" xr:uid="{1FA769D8-E4C9-4D86-AA9B-E262A75B5E61}"/>
    <cellStyle name="Moneda 127 4 2 2" xfId="12581" xr:uid="{9D23DC30-C466-4B0D-BAF7-D5ADB1D053F2}"/>
    <cellStyle name="Moneda 127 4 3" xfId="9661" xr:uid="{7F0FF82E-2DA4-45EE-B2B8-FF753BD256AB}"/>
    <cellStyle name="Moneda 127 5" xfId="3740" xr:uid="{AE4C1591-9D46-4BEA-A544-70669CA40EC7}"/>
    <cellStyle name="Moneda 127 5 2" xfId="11308" xr:uid="{D55F68B4-6523-4D03-A540-AF2F068190EE}"/>
    <cellStyle name="Moneda 127 6" xfId="8388" xr:uid="{563725C9-4923-4639-8EE5-CE859F8D1EF3}"/>
    <cellStyle name="Moneda 128" xfId="569" xr:uid="{871AFFB1-F84A-4E5F-B78E-9F89979B73C6}"/>
    <cellStyle name="Moneda 128 2" xfId="1313" xr:uid="{4E237814-8FC8-4324-96ED-33EF56CC5E7D}"/>
    <cellStyle name="Moneda 128 2 2" xfId="4273" xr:uid="{5BC1DA1A-3F26-4BE7-A205-E5EEEE2A77E2}"/>
    <cellStyle name="Moneda 128 2 2 2" xfId="11841" xr:uid="{82525EC2-786D-4A8A-914E-8C2A59207B57}"/>
    <cellStyle name="Moneda 128 2 3" xfId="8921" xr:uid="{AB0829CA-36E8-4CD5-87E6-AED1B15E2073}"/>
    <cellStyle name="Moneda 128 3" xfId="1677" xr:uid="{CE0824C3-3A9C-4EEA-B280-860D17B33FF3}"/>
    <cellStyle name="Moneda 128 3 2" xfId="4637" xr:uid="{AEAC978C-567B-4B2B-8917-AE259618CC43}"/>
    <cellStyle name="Moneda 128 3 2 2" xfId="12205" xr:uid="{B537F876-BC48-47DE-87A9-597C5EB6BB49}"/>
    <cellStyle name="Moneda 128 3 3" xfId="9285" xr:uid="{BD416F7F-5A8B-467C-8DFE-FE6CA4879894}"/>
    <cellStyle name="Moneda 128 4" xfId="2056" xr:uid="{6B277D60-6592-46C0-A7CE-DB283AEFE9B4}"/>
    <cellStyle name="Moneda 128 4 2" xfId="5015" xr:uid="{18E395EF-2D8A-4283-8BB5-7DC0B85969E7}"/>
    <cellStyle name="Moneda 128 4 2 2" xfId="12583" xr:uid="{B168DB2D-BA1D-45EF-9D8F-6BBE9AFAD712}"/>
    <cellStyle name="Moneda 128 4 3" xfId="9663" xr:uid="{D741DFD3-35E9-44CB-AC7A-4B385A744453}"/>
    <cellStyle name="Moneda 128 5" xfId="3742" xr:uid="{9C20F802-16FF-4D5B-B47F-3C7D2B5528B1}"/>
    <cellStyle name="Moneda 128 5 2" xfId="11310" xr:uid="{4B21C2F6-26F5-42BC-B428-DACF9FC5193B}"/>
    <cellStyle name="Moneda 128 6" xfId="8390" xr:uid="{DB9AF495-D77A-433A-8B7C-C3BD3525B2B6}"/>
    <cellStyle name="Moneda 129" xfId="572" xr:uid="{BAB4A998-7898-4660-9235-CCF545951857}"/>
    <cellStyle name="Moneda 129 2" xfId="1315" xr:uid="{4BD01A45-86DB-4254-8B89-879C5B994A20}"/>
    <cellStyle name="Moneda 129 2 2" xfId="4275" xr:uid="{86218682-AB22-4203-A24A-C4659AE5002F}"/>
    <cellStyle name="Moneda 129 2 2 2" xfId="11843" xr:uid="{2B3C2393-5336-4417-A977-130B301E9B80}"/>
    <cellStyle name="Moneda 129 2 3" xfId="8923" xr:uid="{943DB576-F561-4231-8DF1-64CBB697CE2D}"/>
    <cellStyle name="Moneda 129 3" xfId="1679" xr:uid="{53A8B006-CB5F-4EA0-B072-AEC947A43491}"/>
    <cellStyle name="Moneda 129 3 2" xfId="4639" xr:uid="{1A9BE644-97A5-4524-AA42-ED57DA22A773}"/>
    <cellStyle name="Moneda 129 3 2 2" xfId="12207" xr:uid="{E354C270-C575-418D-A075-A1843F2C8F0D}"/>
    <cellStyle name="Moneda 129 3 3" xfId="9287" xr:uid="{BD323942-12BC-453F-9D66-48FC12CF2302}"/>
    <cellStyle name="Moneda 129 4" xfId="2058" xr:uid="{F61D09C1-CE30-4508-8478-A752DE7BF7AC}"/>
    <cellStyle name="Moneda 129 4 2" xfId="5017" xr:uid="{1721D47B-0C68-4959-BE34-9DCFDB54667F}"/>
    <cellStyle name="Moneda 129 4 2 2" xfId="12585" xr:uid="{7BBAD020-FF89-4028-9E18-8D7D0EA93236}"/>
    <cellStyle name="Moneda 129 4 3" xfId="9665" xr:uid="{0A985CC0-18E8-42A9-B54A-1518729B512A}"/>
    <cellStyle name="Moneda 129 5" xfId="3744" xr:uid="{E618B529-DCB9-4DC2-B6A9-E6272A31C458}"/>
    <cellStyle name="Moneda 129 5 2" xfId="11312" xr:uid="{C3DADC10-9EAE-4F82-B84C-ED634DB77CB6}"/>
    <cellStyle name="Moneda 129 6" xfId="8392" xr:uid="{279358D9-5ADA-4CA4-A823-323ED6E6B0C6}"/>
    <cellStyle name="Moneda 13" xfId="70" xr:uid="{00000000-0005-0000-0000-000052000000}"/>
    <cellStyle name="Moneda 13 10" xfId="3203" xr:uid="{3C8F9F80-A9EB-4810-80EF-AE543F8C6566}"/>
    <cellStyle name="Moneda 13 10 2" xfId="6207" xr:uid="{523553A7-86E4-46DA-ACF9-A89932BF4634}"/>
    <cellStyle name="Moneda 13 10 2 2" xfId="13768" xr:uid="{8461CD22-5BEF-4CC3-8477-6BC3DFB00DB7}"/>
    <cellStyle name="Moneda 13 10 3" xfId="7611" xr:uid="{A9011F61-33D7-40B6-904E-90F1B922D924}"/>
    <cellStyle name="Moneda 13 10 3 2" xfId="15140" xr:uid="{05950A5E-85CA-4514-B25E-712D52060FFB}"/>
    <cellStyle name="Moneda 13 10 4" xfId="10785" xr:uid="{1DA6E4ED-A12A-4EA6-AD7D-E6BCA296B1C1}"/>
    <cellStyle name="Moneda 13 11" xfId="3331" xr:uid="{EBEC37B5-A3FD-4270-BA76-6844AC32F093}"/>
    <cellStyle name="Moneda 13 11 2" xfId="6333" xr:uid="{67E6EBE9-A315-4281-B5C1-328399F9BD7A}"/>
    <cellStyle name="Moneda 13 11 2 2" xfId="13894" xr:uid="{0C57727D-4F3E-41D9-951F-DFA84C3EA9C2}"/>
    <cellStyle name="Moneda 13 11 3" xfId="7737" xr:uid="{522B99BF-CAF4-435D-A8B0-F3949AEE34BD}"/>
    <cellStyle name="Moneda 13 11 3 2" xfId="15266" xr:uid="{7BE5BC13-4140-4D20-9581-270511239F6D}"/>
    <cellStyle name="Moneda 13 11 4" xfId="10911" xr:uid="{B2495A44-591F-499F-99A9-6E20FC7D4EE8}"/>
    <cellStyle name="Moneda 13 12" xfId="2328" xr:uid="{E21F197F-ABB8-455D-9DD2-B7F8DECBAEF2}"/>
    <cellStyle name="Moneda 13 12 2" xfId="6469" xr:uid="{60CBD254-AD33-4F43-A570-AE895DF0B22F}"/>
    <cellStyle name="Moneda 13 12 2 2" xfId="14025" xr:uid="{08DB0421-95DB-4D7F-832E-01E1EDA94B8C}"/>
    <cellStyle name="Moneda 13 12 3" xfId="7868" xr:uid="{0AA29810-F601-445A-BC8E-825053B5271F}"/>
    <cellStyle name="Moneda 13 12 3 2" xfId="15397" xr:uid="{2E02D343-8AD6-441A-B15C-A3CB2656546C}"/>
    <cellStyle name="Moneda 13 12 4" xfId="9926" xr:uid="{49781770-866E-461C-AEF8-80FC3191E4C2}"/>
    <cellStyle name="Moneda 13 13" xfId="3512" xr:uid="{B806A57E-FA73-425F-A33D-6E87DE85CAAE}"/>
    <cellStyle name="Moneda 13 13 2" xfId="11080" xr:uid="{9420616D-B9F3-405E-AFD4-807FA3B12124}"/>
    <cellStyle name="Moneda 13 14" xfId="5347" xr:uid="{D99D0250-A29E-4774-8931-618C60FDF3E3}"/>
    <cellStyle name="Moneda 13 14 2" xfId="12908" xr:uid="{349E1772-492D-4836-A27B-7A0E3085E001}"/>
    <cellStyle name="Moneda 13 15" xfId="6751" xr:uid="{4A7C03E6-4884-4191-A01D-232FCA476A10}"/>
    <cellStyle name="Moneda 13 15 2" xfId="14280" xr:uid="{DB3AC3DB-D4D5-4CA7-AFAB-3DE760DE3597}"/>
    <cellStyle name="Moneda 13 16" xfId="8160" xr:uid="{206AFEAE-2D14-41DA-84A3-856FBDBBF751}"/>
    <cellStyle name="Moneda 13 17" xfId="223" xr:uid="{A363DBE4-C03A-46F4-8900-1F103CD68859}"/>
    <cellStyle name="Moneda 13 2" xfId="1083" xr:uid="{F1A45F3F-77A8-4988-8F53-BBCF706FB1C0}"/>
    <cellStyle name="Moneda 13 2 10" xfId="3361" xr:uid="{908455CC-E405-4EB7-BF34-93CB1EC8E88C}"/>
    <cellStyle name="Moneda 13 2 10 2" xfId="6363" xr:uid="{CF7BE833-0047-4108-AD57-AD6944DFB026}"/>
    <cellStyle name="Moneda 13 2 10 2 2" xfId="13924" xr:uid="{225745DE-7C06-4285-9147-AAA8F9367C7A}"/>
    <cellStyle name="Moneda 13 2 10 3" xfId="7767" xr:uid="{701DF568-DBB2-47FB-8A41-6D5D9846B389}"/>
    <cellStyle name="Moneda 13 2 10 3 2" xfId="15296" xr:uid="{333043A1-8F09-4A3E-8A7F-FF246239E235}"/>
    <cellStyle name="Moneda 13 2 10 4" xfId="10941" xr:uid="{D6B4820D-C4BE-410D-98CB-B001AB31457B}"/>
    <cellStyle name="Moneda 13 2 11" xfId="2364" xr:uid="{3F114105-9E59-4DCB-8EBB-7ADB82E5380A}"/>
    <cellStyle name="Moneda 13 2 11 2" xfId="6499" xr:uid="{90924C01-5EA4-4055-8BF5-ABDD22080721}"/>
    <cellStyle name="Moneda 13 2 11 2 2" xfId="14055" xr:uid="{75B4E8A6-8070-4222-B187-4EE1691A6A18}"/>
    <cellStyle name="Moneda 13 2 11 3" xfId="7898" xr:uid="{5A05CBB0-BF5B-454D-9176-03A22C877499}"/>
    <cellStyle name="Moneda 13 2 11 3 2" xfId="15427" xr:uid="{C57D5FFE-BE6F-4234-B820-0F457AC40AD7}"/>
    <cellStyle name="Moneda 13 2 11 4" xfId="9956" xr:uid="{5C827B7B-EC11-4263-BDB3-777E7A59F07E}"/>
    <cellStyle name="Moneda 13 2 12" xfId="4043" xr:uid="{97380AC2-EF7B-45FC-9086-A7838F4182D4}"/>
    <cellStyle name="Moneda 13 2 12 2" xfId="11611" xr:uid="{F626CB7B-0FB8-45FD-A6CA-12579EFF2C88}"/>
    <cellStyle name="Moneda 13 2 13" xfId="5378" xr:uid="{EEB0E84D-B398-4E4D-9694-8EC495F1D33B}"/>
    <cellStyle name="Moneda 13 2 13 2" xfId="12939" xr:uid="{49CA8EE3-3E54-46F7-9530-021E69F51E6E}"/>
    <cellStyle name="Moneda 13 2 14" xfId="6782" xr:uid="{165A5B4C-59CD-44CA-9C44-6DAD12F0CFE8}"/>
    <cellStyle name="Moneda 13 2 14 2" xfId="14311" xr:uid="{9D59FC73-2EEE-46A2-9856-886E237672BF}"/>
    <cellStyle name="Moneda 13 2 15" xfId="8691" xr:uid="{74ACFADA-6316-442D-B6BD-094E6DFF1D18}"/>
    <cellStyle name="Moneda 13 2 2" xfId="2426" xr:uid="{3263EF88-0D89-449A-8D47-9B754CB42DDA}"/>
    <cellStyle name="Moneda 13 2 2 10" xfId="6557" xr:uid="{EAEC1C79-0D31-48E3-9001-65485C1DC235}"/>
    <cellStyle name="Moneda 13 2 2 10 2" xfId="7956" xr:uid="{2F401BA1-4CDE-4E28-B2E7-C3A611DDE1D0}"/>
    <cellStyle name="Moneda 13 2 2 10 2 2" xfId="15485" xr:uid="{27BEC1EC-D33B-4BDD-A50F-57A7D57864BE}"/>
    <cellStyle name="Moneda 13 2 2 10 3" xfId="14113" xr:uid="{C859D55F-123E-418F-BF57-2C1BEE83E72E}"/>
    <cellStyle name="Moneda 13 2 2 11" xfId="5436" xr:uid="{545E9A69-8A2A-4B37-823A-71B66C249273}"/>
    <cellStyle name="Moneda 13 2 2 11 2" xfId="12997" xr:uid="{76520DAF-0665-4233-9898-5B867203A4B4}"/>
    <cellStyle name="Moneda 13 2 2 12" xfId="6840" xr:uid="{5347C8DE-DE5A-4DA0-A770-D85BD82AB63B}"/>
    <cellStyle name="Moneda 13 2 2 12 2" xfId="14369" xr:uid="{37672C71-F60D-434C-B0A4-CF390EBB70C9}"/>
    <cellStyle name="Moneda 13 2 2 13" xfId="10014" xr:uid="{982888DC-D694-4869-8F25-888C3FEF4C93}"/>
    <cellStyle name="Moneda 13 2 2 2" xfId="2550" xr:uid="{E302AFAC-3532-46E5-8EB6-A9DE99F19814}"/>
    <cellStyle name="Moneda 13 2 2 2 2" xfId="6692" xr:uid="{70D75E33-929F-4A70-85CE-B504B3CE59AB}"/>
    <cellStyle name="Moneda 13 2 2 2 2 2" xfId="8078" xr:uid="{C5DA02AB-8236-4089-B5A4-9486C30AE3F1}"/>
    <cellStyle name="Moneda 13 2 2 2 2 2 2" xfId="15607" xr:uid="{EF48A3F8-A073-4380-8CAB-278F8B7F75AC}"/>
    <cellStyle name="Moneda 13 2 2 2 2 3" xfId="14235" xr:uid="{77E323FB-7E2F-45E6-AD29-FC26DB304FAF}"/>
    <cellStyle name="Moneda 13 2 2 2 3" xfId="5556" xr:uid="{661E8850-DA31-4D21-A7F5-F0C56F3BA54B}"/>
    <cellStyle name="Moneda 13 2 2 2 3 2" xfId="13117" xr:uid="{19D9DA46-9C8B-4192-80D9-1FA9D03FC245}"/>
    <cellStyle name="Moneda 13 2 2 2 4" xfId="6960" xr:uid="{0A25BDC2-53C4-41D8-92C1-B2864F5EFD15}"/>
    <cellStyle name="Moneda 13 2 2 2 4 2" xfId="14489" xr:uid="{6DC9A4E8-8EA2-4457-8D81-C1BF81F03781}"/>
    <cellStyle name="Moneda 13 2 2 2 5" xfId="10134" xr:uid="{C41731ED-39C6-458A-9738-9484C04570BF}"/>
    <cellStyle name="Moneda 13 2 2 3" xfId="2671" xr:uid="{FA7EC9C1-C7FD-48FC-A394-015691D08C1E}"/>
    <cellStyle name="Moneda 13 2 2 3 2" xfId="5676" xr:uid="{D301E00C-D641-4035-9BDF-4872ACCCF400}"/>
    <cellStyle name="Moneda 13 2 2 3 2 2" xfId="13237" xr:uid="{9D4D5E0D-E7EE-40EC-B84C-7D3B65E721D2}"/>
    <cellStyle name="Moneda 13 2 2 3 3" xfId="7080" xr:uid="{19E0A97F-FABC-4173-BCBD-D8E469711934}"/>
    <cellStyle name="Moneda 13 2 2 3 3 2" xfId="14609" xr:uid="{7475B830-2021-4161-B743-829884320959}"/>
    <cellStyle name="Moneda 13 2 2 3 4" xfId="10254" xr:uid="{4983D31B-72A7-4083-9420-2854DE0C57D7}"/>
    <cellStyle name="Moneda 13 2 2 4" xfId="2793" xr:uid="{71141B78-2967-4504-AEF7-E9A0F04B8B57}"/>
    <cellStyle name="Moneda 13 2 2 4 2" xfId="5798" xr:uid="{5AF9A1D0-ABFA-4543-B2B1-D3DA4B2601A0}"/>
    <cellStyle name="Moneda 13 2 2 4 2 2" xfId="13359" xr:uid="{2A7B4014-00E0-4728-8C58-2CE9FB5A2359}"/>
    <cellStyle name="Moneda 13 2 2 4 3" xfId="7202" xr:uid="{9E168229-BB0A-4E9D-8F80-64778F23889C}"/>
    <cellStyle name="Moneda 13 2 2 4 3 2" xfId="14731" xr:uid="{D191F455-CD28-40DC-94D0-D3987C96C670}"/>
    <cellStyle name="Moneda 13 2 2 4 4" xfId="10376" xr:uid="{38EA65EB-96B5-4CE4-9F0B-6E8EAB86371C}"/>
    <cellStyle name="Moneda 13 2 2 5" xfId="2918" xr:uid="{4D0475F8-D78D-4D74-8588-85D8C7549665}"/>
    <cellStyle name="Moneda 13 2 2 5 2" xfId="5922" xr:uid="{D61FA95E-AA0A-4778-BD4C-D5CD19FABCD1}"/>
    <cellStyle name="Moneda 13 2 2 5 2 2" xfId="13483" xr:uid="{381F49F3-DE7A-4933-8D59-5FA24E3045A4}"/>
    <cellStyle name="Moneda 13 2 2 5 3" xfId="7326" xr:uid="{13B571A3-F7D1-4807-A747-B195D851E5F0}"/>
    <cellStyle name="Moneda 13 2 2 5 3 2" xfId="14855" xr:uid="{E3F6D0CD-9992-452E-8487-891D521627D4}"/>
    <cellStyle name="Moneda 13 2 2 5 4" xfId="10500" xr:uid="{DE018F59-EF04-46E8-983C-8E29E3039108}"/>
    <cellStyle name="Moneda 13 2 2 6" xfId="3042" xr:uid="{B14DFBCA-7987-4317-BDA6-C90F812E24EA}"/>
    <cellStyle name="Moneda 13 2 2 6 2" xfId="6046" xr:uid="{86ABC6AC-08FB-4C56-AA46-9EF8F2815092}"/>
    <cellStyle name="Moneda 13 2 2 6 2 2" xfId="13607" xr:uid="{603D4B82-2FE3-407A-9974-59689E5533F5}"/>
    <cellStyle name="Moneda 13 2 2 6 3" xfId="7450" xr:uid="{8E2410AE-2BF4-40FE-8899-E508C5BFC2B6}"/>
    <cellStyle name="Moneda 13 2 2 6 3 2" xfId="14979" xr:uid="{747311B2-8AB4-469E-84C7-389E5285C10A}"/>
    <cellStyle name="Moneda 13 2 2 6 4" xfId="10624" xr:uid="{D6769D76-EC4F-4AC8-AD36-D042F023B920}"/>
    <cellStyle name="Moneda 13 2 2 7" xfId="3166" xr:uid="{492F1887-B03D-4099-A156-C0FDB5B87A33}"/>
    <cellStyle name="Moneda 13 2 2 7 2" xfId="6170" xr:uid="{BCC49DD3-D919-4B99-8EFB-8CAED30905B5}"/>
    <cellStyle name="Moneda 13 2 2 7 2 2" xfId="13731" xr:uid="{44EA5622-9698-4DFB-BF7C-62E30937912D}"/>
    <cellStyle name="Moneda 13 2 2 7 3" xfId="7574" xr:uid="{370E20D7-4EEA-429A-8AFE-895BA70E2303}"/>
    <cellStyle name="Moneda 13 2 2 7 3 2" xfId="15103" xr:uid="{897666E9-617F-4643-AB46-9342CEAB9685}"/>
    <cellStyle name="Moneda 13 2 2 7 4" xfId="10748" xr:uid="{6294B255-22A3-4BE1-9595-D157CC0D9570}"/>
    <cellStyle name="Moneda 13 2 2 8" xfId="3291" xr:uid="{148CE029-4B5A-4B73-981A-24CAD640B4FE}"/>
    <cellStyle name="Moneda 13 2 2 8 2" xfId="6295" xr:uid="{AC7C7F24-A6AE-4966-915A-C5FD1C719F50}"/>
    <cellStyle name="Moneda 13 2 2 8 2 2" xfId="13856" xr:uid="{248A29B1-DC21-4622-BAD5-19BD437E93DD}"/>
    <cellStyle name="Moneda 13 2 2 8 3" xfId="7699" xr:uid="{AA48B8DB-19C2-46E0-9AF8-9D9C176AE162}"/>
    <cellStyle name="Moneda 13 2 2 8 3 2" xfId="15228" xr:uid="{135FE64E-791E-42B7-9BF1-84ED05DBAD2E}"/>
    <cellStyle name="Moneda 13 2 2 8 4" xfId="10873" xr:uid="{FCA5ADC7-6FA3-4013-B689-F68F1B23AE90}"/>
    <cellStyle name="Moneda 13 2 2 9" xfId="3419" xr:uid="{8ABA436F-86B3-4CE2-B89F-BEAC0494168B}"/>
    <cellStyle name="Moneda 13 2 2 9 2" xfId="6421" xr:uid="{55B329B2-AB62-4507-9DD7-24B71CE0933B}"/>
    <cellStyle name="Moneda 13 2 2 9 2 2" xfId="13982" xr:uid="{37EF60CD-206E-4154-9E4A-6A3E1A55E9EE}"/>
    <cellStyle name="Moneda 13 2 2 9 3" xfId="7825" xr:uid="{484E5B68-8320-460A-B1F5-75D5FB01359A}"/>
    <cellStyle name="Moneda 13 2 2 9 3 2" xfId="15354" xr:uid="{8D72A3D1-B78F-4BCD-913F-AC5F9439B941}"/>
    <cellStyle name="Moneda 13 2 2 9 4" xfId="10999" xr:uid="{3E645856-390D-43C0-BF78-3D193591A4C3}"/>
    <cellStyle name="Moneda 13 2 3" xfId="2492" xr:uid="{A35E2F26-A9C3-46AD-99CD-FFA00850D223}"/>
    <cellStyle name="Moneda 13 2 3 2" xfId="6634" xr:uid="{DC9380F5-EBB5-4947-B729-C439EAB3FCF3}"/>
    <cellStyle name="Moneda 13 2 3 2 2" xfId="8020" xr:uid="{EF5EA8C0-07FD-4B2F-B622-BB3F073E86A4}"/>
    <cellStyle name="Moneda 13 2 3 2 2 2" xfId="15549" xr:uid="{261EF19F-8BE0-461F-94D9-FC8CA85E559E}"/>
    <cellStyle name="Moneda 13 2 3 2 3" xfId="14177" xr:uid="{7C1D4788-1AA5-4729-B3D2-797DD9A06403}"/>
    <cellStyle name="Moneda 13 2 3 3" xfId="5498" xr:uid="{F3EB9862-B986-4FDF-8006-FDEE33A3300B}"/>
    <cellStyle name="Moneda 13 2 3 3 2" xfId="13059" xr:uid="{9C5A5B8A-8A8D-445B-A469-F53D63417F3B}"/>
    <cellStyle name="Moneda 13 2 3 4" xfId="6902" xr:uid="{79C16CC8-7895-4C7E-A0DB-5537D90FE273}"/>
    <cellStyle name="Moneda 13 2 3 4 2" xfId="14431" xr:uid="{BFC0310B-C871-4D0B-9691-284F7DF5BE52}"/>
    <cellStyle name="Moneda 13 2 3 5" xfId="10076" xr:uid="{51ED8F05-99D4-4811-82BC-FD4F237F5A29}"/>
    <cellStyle name="Moneda 13 2 4" xfId="2613" xr:uid="{0A125B2D-0F9D-42B9-94CB-D6328503D572}"/>
    <cellStyle name="Moneda 13 2 4 2" xfId="5618" xr:uid="{AAC0356A-9C87-4AF9-9AF8-0AF69635B696}"/>
    <cellStyle name="Moneda 13 2 4 2 2" xfId="13179" xr:uid="{B71EFAD1-D95C-4535-9CB5-1BA50C9A9947}"/>
    <cellStyle name="Moneda 13 2 4 3" xfId="7022" xr:uid="{F5859AD8-3C7A-4B5E-8F68-00E5AE7235A9}"/>
    <cellStyle name="Moneda 13 2 4 3 2" xfId="14551" xr:uid="{0449B96F-E5BC-4694-9769-2B8E8DCC2925}"/>
    <cellStyle name="Moneda 13 2 4 4" xfId="10196" xr:uid="{4D0BB60D-383E-4DA1-BA99-4275FE606214}"/>
    <cellStyle name="Moneda 13 2 5" xfId="2735" xr:uid="{716EAD5B-D5AD-4FFB-AB47-6BBCE6C0751E}"/>
    <cellStyle name="Moneda 13 2 5 2" xfId="5740" xr:uid="{478F6E20-211B-44A9-84C2-E105470FB9A7}"/>
    <cellStyle name="Moneda 13 2 5 2 2" xfId="13301" xr:uid="{7936ED7F-401C-4786-9BF3-5C61A106AFFB}"/>
    <cellStyle name="Moneda 13 2 5 3" xfId="7144" xr:uid="{D1FD5944-80D9-423C-B012-2966291AB31C}"/>
    <cellStyle name="Moneda 13 2 5 3 2" xfId="14673" xr:uid="{EE846E49-1758-4E53-9B1E-55135FD1EF0E}"/>
    <cellStyle name="Moneda 13 2 5 4" xfId="10318" xr:uid="{73FDDC83-5DAE-4A0D-8FCB-97EBB49FB4E5}"/>
    <cellStyle name="Moneda 13 2 6" xfId="2860" xr:uid="{18794D90-0FE5-40D7-AAD3-D118E52B7EF8}"/>
    <cellStyle name="Moneda 13 2 6 2" xfId="5864" xr:uid="{E1F7099F-CE29-43BE-8CBB-382769B7AEF8}"/>
    <cellStyle name="Moneda 13 2 6 2 2" xfId="13425" xr:uid="{DF7EB007-DE1D-4982-829E-8C2B1DA22338}"/>
    <cellStyle name="Moneda 13 2 6 3" xfId="7268" xr:uid="{DFF75E06-B8CC-442D-B1FD-D579E690DBCD}"/>
    <cellStyle name="Moneda 13 2 6 3 2" xfId="14797" xr:uid="{5438E0D4-73BA-409F-A4D9-B8C59B8012B8}"/>
    <cellStyle name="Moneda 13 2 6 4" xfId="10442" xr:uid="{D6233681-A869-496D-B9AD-7C2C912564CB}"/>
    <cellStyle name="Moneda 13 2 7" xfId="2984" xr:uid="{A96092EB-C8B5-4384-B54F-4CF7DC343991}"/>
    <cellStyle name="Moneda 13 2 7 2" xfId="5988" xr:uid="{2E874034-2291-4F6E-8194-26022CE64AF9}"/>
    <cellStyle name="Moneda 13 2 7 2 2" xfId="13549" xr:uid="{A4A76F47-68E8-4F67-B5F7-AF0EF824EF7F}"/>
    <cellStyle name="Moneda 13 2 7 3" xfId="7392" xr:uid="{662C3F03-8FB2-43E1-8195-FB6A26514B51}"/>
    <cellStyle name="Moneda 13 2 7 3 2" xfId="14921" xr:uid="{01B2CDA1-C4DD-43CC-8014-55B175B4F6AC}"/>
    <cellStyle name="Moneda 13 2 7 4" xfId="10566" xr:uid="{8AF05BE7-62D5-4A35-A659-90AB0257A6A4}"/>
    <cellStyle name="Moneda 13 2 8" xfId="3108" xr:uid="{F9D8FFB3-5CF6-4730-B34C-FCB7E29C44A3}"/>
    <cellStyle name="Moneda 13 2 8 2" xfId="6112" xr:uid="{9FCD3F9E-58CB-47C5-8FF8-CCF7036DE75C}"/>
    <cellStyle name="Moneda 13 2 8 2 2" xfId="13673" xr:uid="{9726CBAC-F31F-4CAC-ABA0-B50C5200F368}"/>
    <cellStyle name="Moneda 13 2 8 3" xfId="7516" xr:uid="{1C5BE8AD-E0AC-4070-9E6A-5575931F16BA}"/>
    <cellStyle name="Moneda 13 2 8 3 2" xfId="15045" xr:uid="{F3EEF743-EE6B-48BD-B58A-A42D724507D1}"/>
    <cellStyle name="Moneda 13 2 8 4" xfId="10690" xr:uid="{6E6419F0-86BF-4D52-85E9-99B881F837B3}"/>
    <cellStyle name="Moneda 13 2 9" xfId="3233" xr:uid="{478B9235-3A87-4820-BBDB-BF17419E9235}"/>
    <cellStyle name="Moneda 13 2 9 2" xfId="6237" xr:uid="{C7D559FA-DCD7-49F7-8463-4668CF6F2A68}"/>
    <cellStyle name="Moneda 13 2 9 2 2" xfId="13798" xr:uid="{330AB249-260D-4C9F-B3A7-0A1031417E04}"/>
    <cellStyle name="Moneda 13 2 9 3" xfId="7641" xr:uid="{67070BE9-BEA5-4BE1-9FE1-4E2CDBDB84AA}"/>
    <cellStyle name="Moneda 13 2 9 3 2" xfId="15170" xr:uid="{ECDE34D0-6A9E-43B1-8635-B16A05F67E49}"/>
    <cellStyle name="Moneda 13 2 9 4" xfId="10815" xr:uid="{3D81A907-076D-4A12-BAA3-59D94022998E}"/>
    <cellStyle name="Moneda 13 3" xfId="1447" xr:uid="{FAEB25E8-A3A0-452A-8F4A-9F216BCD0165}"/>
    <cellStyle name="Moneda 13 3 10" xfId="2396" xr:uid="{8AB75207-E2AE-4E98-BCBC-EDE58E658D50}"/>
    <cellStyle name="Moneda 13 3 10 2" xfId="6527" xr:uid="{8A5D6EE8-632C-4F2B-9A9C-DA111620440C}"/>
    <cellStyle name="Moneda 13 3 10 2 2" xfId="14083" xr:uid="{C8386DB3-B3AF-40B1-8C84-59B25DF803B3}"/>
    <cellStyle name="Moneda 13 3 10 3" xfId="7926" xr:uid="{F587F3CF-27D1-424F-ACD7-25DC2E30AB33}"/>
    <cellStyle name="Moneda 13 3 10 3 2" xfId="15455" xr:uid="{A939030C-EE41-41E9-854F-32573D7C7F31}"/>
    <cellStyle name="Moneda 13 3 10 4" xfId="9984" xr:uid="{0C00B765-CB1E-4B6B-83B9-E46B445341B8}"/>
    <cellStyle name="Moneda 13 3 11" xfId="4407" xr:uid="{EFCF1517-931E-4340-8FBB-A2534A4211FF}"/>
    <cellStyle name="Moneda 13 3 11 2" xfId="11975" xr:uid="{15D467B6-6AA3-4BF0-BE85-0E9B42DC47E8}"/>
    <cellStyle name="Moneda 13 3 12" xfId="5406" xr:uid="{6DCDE128-1E54-4F87-AF2D-89FCD9892585}"/>
    <cellStyle name="Moneda 13 3 12 2" xfId="12967" xr:uid="{FB2C07CC-6011-46AB-AE29-40F953545FF8}"/>
    <cellStyle name="Moneda 13 3 13" xfId="6810" xr:uid="{E2FAEA99-F6C9-43E3-A447-C9BCA14B6750}"/>
    <cellStyle name="Moneda 13 3 13 2" xfId="14339" xr:uid="{8EFBF692-5E45-495F-A0D6-3AB5E5CC13A0}"/>
    <cellStyle name="Moneda 13 3 14" xfId="9055" xr:uid="{061F72FF-B4D4-4610-9EC8-7E064C1FF3B3}"/>
    <cellStyle name="Moneda 13 3 2" xfId="2520" xr:uid="{EF6D4316-67BE-4F25-8E53-260A76FC89BE}"/>
    <cellStyle name="Moneda 13 3 2 2" xfId="6662" xr:uid="{3F003447-D631-40F2-A6FE-7F1B8B692DB4}"/>
    <cellStyle name="Moneda 13 3 2 2 2" xfId="8048" xr:uid="{43548F24-96F8-42D0-A535-732B5431955C}"/>
    <cellStyle name="Moneda 13 3 2 2 2 2" xfId="15577" xr:uid="{F9AD22A6-9057-4705-BA94-3FFB610CEE93}"/>
    <cellStyle name="Moneda 13 3 2 2 3" xfId="14205" xr:uid="{B85A525E-552B-4735-A295-10E9B93E8669}"/>
    <cellStyle name="Moneda 13 3 2 3" xfId="5526" xr:uid="{080DE23B-E3DF-481A-976B-65A5A56CB444}"/>
    <cellStyle name="Moneda 13 3 2 3 2" xfId="13087" xr:uid="{018B50EA-CF96-463F-A9FE-892B40AA7B7B}"/>
    <cellStyle name="Moneda 13 3 2 4" xfId="6930" xr:uid="{95709EB0-A9F5-42F8-A6C0-E477DD65DDB2}"/>
    <cellStyle name="Moneda 13 3 2 4 2" xfId="14459" xr:uid="{AC7EDF09-4ED4-4D16-A47F-D12BF56A1B26}"/>
    <cellStyle name="Moneda 13 3 2 5" xfId="10104" xr:uid="{C49D451D-6076-4E1D-885E-0EFC93FD8DBE}"/>
    <cellStyle name="Moneda 13 3 3" xfId="2641" xr:uid="{E7014AD5-1C8A-40EE-852D-3BAD90052D26}"/>
    <cellStyle name="Moneda 13 3 3 2" xfId="5646" xr:uid="{042BF14C-65C1-451F-AA0D-5935B5B0D02D}"/>
    <cellStyle name="Moneda 13 3 3 2 2" xfId="13207" xr:uid="{D2EF75E4-102B-4ADC-B021-9D3599E5DFB5}"/>
    <cellStyle name="Moneda 13 3 3 3" xfId="7050" xr:uid="{B57B9643-E93D-4403-970B-16D4DCF40AC9}"/>
    <cellStyle name="Moneda 13 3 3 3 2" xfId="14579" xr:uid="{D531E5FF-B114-4D3F-B8F4-7C5F5EDD1CEF}"/>
    <cellStyle name="Moneda 13 3 3 4" xfId="10224" xr:uid="{2FCE7900-1A76-4E24-9E58-C218EAFEC65D}"/>
    <cellStyle name="Moneda 13 3 4" xfId="2763" xr:uid="{26F51454-99C3-42A7-B4C5-AFCEEF188A1D}"/>
    <cellStyle name="Moneda 13 3 4 2" xfId="5768" xr:uid="{B5CF3065-D6BE-4E82-9D86-0BC2903E40A2}"/>
    <cellStyle name="Moneda 13 3 4 2 2" xfId="13329" xr:uid="{35681927-047F-4CB7-A5E9-7607E8095B0C}"/>
    <cellStyle name="Moneda 13 3 4 3" xfId="7172" xr:uid="{C3959930-C881-45F2-A104-5ACBBB82BC57}"/>
    <cellStyle name="Moneda 13 3 4 3 2" xfId="14701" xr:uid="{2BECEDBD-C765-4B0D-913B-418F9A126D0E}"/>
    <cellStyle name="Moneda 13 3 4 4" xfId="10346" xr:uid="{8C72AC8D-AD70-4D8B-B1D3-75FFBC687E63}"/>
    <cellStyle name="Moneda 13 3 5" xfId="2888" xr:uid="{3CDD867D-509D-4EAA-8D8F-0B47B0CAA446}"/>
    <cellStyle name="Moneda 13 3 5 2" xfId="5892" xr:uid="{35CCD977-0603-4456-8521-C751D5937C0D}"/>
    <cellStyle name="Moneda 13 3 5 2 2" xfId="13453" xr:uid="{6E4CCBC0-1003-4106-A57F-DA240D406A1C}"/>
    <cellStyle name="Moneda 13 3 5 3" xfId="7296" xr:uid="{47182F0C-B06E-4793-B62B-1731974517C0}"/>
    <cellStyle name="Moneda 13 3 5 3 2" xfId="14825" xr:uid="{403CEDA9-76E7-47F6-BE82-A3188B5E0BBA}"/>
    <cellStyle name="Moneda 13 3 5 4" xfId="10470" xr:uid="{78178976-C2FD-4606-BE51-9CAF6F1538E5}"/>
    <cellStyle name="Moneda 13 3 6" xfId="3012" xr:uid="{66E4E738-08B5-4BCD-BD15-0CC4FA4167A2}"/>
    <cellStyle name="Moneda 13 3 6 2" xfId="6016" xr:uid="{5CFC451F-0BAD-46E1-80D0-C3E64C508CCA}"/>
    <cellStyle name="Moneda 13 3 6 2 2" xfId="13577" xr:uid="{81DCEE33-4A8C-4F91-8F5D-2B521D74BC2C}"/>
    <cellStyle name="Moneda 13 3 6 3" xfId="7420" xr:uid="{0FD569BD-A1D6-4955-B9B1-4CDF7D8B26F2}"/>
    <cellStyle name="Moneda 13 3 6 3 2" xfId="14949" xr:uid="{8CDDFB22-0CF9-4315-A377-F4762CB6BAEE}"/>
    <cellStyle name="Moneda 13 3 6 4" xfId="10594" xr:uid="{54702BA4-5D25-436C-BFA9-11AE4D018043}"/>
    <cellStyle name="Moneda 13 3 7" xfId="3136" xr:uid="{B4A2659D-7A1E-4821-AADF-BA47677ABA1F}"/>
    <cellStyle name="Moneda 13 3 7 2" xfId="6140" xr:uid="{5973DD8E-4003-48BC-9DC7-CF9617B5D845}"/>
    <cellStyle name="Moneda 13 3 7 2 2" xfId="13701" xr:uid="{7FECCABD-94E7-4B3A-9A6E-74F4B940852A}"/>
    <cellStyle name="Moneda 13 3 7 3" xfId="7544" xr:uid="{F316C6CE-086A-436B-B533-97D3A964785C}"/>
    <cellStyle name="Moneda 13 3 7 3 2" xfId="15073" xr:uid="{D54D2775-87D0-4B3F-9E6C-ECE957CAD885}"/>
    <cellStyle name="Moneda 13 3 7 4" xfId="10718" xr:uid="{874CEA61-9E42-48CB-ADE1-5C083304D9F4}"/>
    <cellStyle name="Moneda 13 3 8" xfId="3261" xr:uid="{A362A57F-B1B0-4CAF-8330-58C1A3F7E523}"/>
    <cellStyle name="Moneda 13 3 8 2" xfId="6265" xr:uid="{FAFA2965-BD71-45BA-9466-DE452C0B53FB}"/>
    <cellStyle name="Moneda 13 3 8 2 2" xfId="13826" xr:uid="{220355FC-062B-48A0-81DF-08C27BC42777}"/>
    <cellStyle name="Moneda 13 3 8 3" xfId="7669" xr:uid="{DF4AECAA-5651-45ED-AE9A-32F846B7276D}"/>
    <cellStyle name="Moneda 13 3 8 3 2" xfId="15198" xr:uid="{77117701-B3A0-4C6A-8C95-5195780B56B2}"/>
    <cellStyle name="Moneda 13 3 8 4" xfId="10843" xr:uid="{0BEB797B-1B9D-494D-9A77-6E1E4B9C2785}"/>
    <cellStyle name="Moneda 13 3 9" xfId="3389" xr:uid="{C41529E3-2C92-4CBD-BD5C-466834CF4F32}"/>
    <cellStyle name="Moneda 13 3 9 2" xfId="6391" xr:uid="{BD7ABA46-2F7F-41E0-9332-B035B0449452}"/>
    <cellStyle name="Moneda 13 3 9 2 2" xfId="13952" xr:uid="{E8A6CC25-ECDE-4FD7-B243-AAADD90A79DC}"/>
    <cellStyle name="Moneda 13 3 9 3" xfId="7795" xr:uid="{1CED5CEE-D0CF-4EF1-BB57-910A2768BA26}"/>
    <cellStyle name="Moneda 13 3 9 3 2" xfId="15324" xr:uid="{1631A90C-1336-4305-BDB0-E29CE45AF337}"/>
    <cellStyle name="Moneda 13 3 9 4" xfId="10969" xr:uid="{1E9AF2F0-3F26-4E0A-ACDD-11545864442F}"/>
    <cellStyle name="Moneda 13 4" xfId="1826" xr:uid="{B28108FD-7929-41A3-8471-98FC8E5D380C}"/>
    <cellStyle name="Moneda 13 4 2" xfId="2461" xr:uid="{D1A8147D-AFDF-4C45-A5A4-3B1E4003773F}"/>
    <cellStyle name="Moneda 13 4 2 2" xfId="6604" xr:uid="{10C6FA75-8478-4AFE-A8E8-18D9018EEE6F}"/>
    <cellStyle name="Moneda 13 4 2 2 2" xfId="14147" xr:uid="{4282140F-7BCE-4C20-BC1D-8568B2058C0A}"/>
    <cellStyle name="Moneda 13 4 2 3" xfId="7990" xr:uid="{C4444CE2-0B9D-4670-A81D-22C64434E461}"/>
    <cellStyle name="Moneda 13 4 2 3 2" xfId="15519" xr:uid="{07B98467-1EF5-4FE8-888B-227D8295BB2D}"/>
    <cellStyle name="Moneda 13 4 2 4" xfId="10045" xr:uid="{158BC109-D3BB-4E8C-9830-8258650CB223}"/>
    <cellStyle name="Moneda 13 4 3" xfId="4785" xr:uid="{799A6097-C3A0-40A3-A913-1825CB0E7838}"/>
    <cellStyle name="Moneda 13 4 3 2" xfId="12353" xr:uid="{F0CE630D-8C36-4F20-9434-F5894FC434E5}"/>
    <cellStyle name="Moneda 13 4 4" xfId="5467" xr:uid="{DAB57ED5-CFF0-4C90-95E3-0E40BA7F714F}"/>
    <cellStyle name="Moneda 13 4 4 2" xfId="13028" xr:uid="{037C85C2-A220-4DB1-996A-D2CAFBFC6D65}"/>
    <cellStyle name="Moneda 13 4 5" xfId="6871" xr:uid="{3EC09593-D5D5-44D2-9BEC-E43C358F26C6}"/>
    <cellStyle name="Moneda 13 4 5 2" xfId="14400" xr:uid="{D50F7292-FDC2-4249-9E7B-1A92F1D1B524}"/>
    <cellStyle name="Moneda 13 4 6" xfId="9433" xr:uid="{5565F8F1-F00A-4CDB-A8A5-C788EBE75068}"/>
    <cellStyle name="Moneda 13 5" xfId="2583" xr:uid="{EA06569C-87C9-46F1-BC7B-94F454359B90}"/>
    <cellStyle name="Moneda 13 5 2" xfId="5588" xr:uid="{715D0B64-04DA-4311-B4B2-04564868DC10}"/>
    <cellStyle name="Moneda 13 5 2 2" xfId="13149" xr:uid="{F708C8B0-8940-4B26-A75C-1DCE8EFEE274}"/>
    <cellStyle name="Moneda 13 5 3" xfId="6992" xr:uid="{539660DB-1862-4BBE-9FD9-49745461E1F8}"/>
    <cellStyle name="Moneda 13 5 3 2" xfId="14521" xr:uid="{9FBE2955-FFA8-4199-A5DF-0B5DBAC413CA}"/>
    <cellStyle name="Moneda 13 5 4" xfId="10166" xr:uid="{67B51D32-1D0F-4D8E-8763-CCF39BBDF0D1}"/>
    <cellStyle name="Moneda 13 6" xfId="2705" xr:uid="{B517BC39-40F2-4874-B167-A87E4F41C74B}"/>
    <cellStyle name="Moneda 13 6 2" xfId="5710" xr:uid="{94AEA3F1-DCD8-4720-A082-D8C87DF54414}"/>
    <cellStyle name="Moneda 13 6 2 2" xfId="13271" xr:uid="{4EF7E465-831C-4052-B965-0E9E21104BD2}"/>
    <cellStyle name="Moneda 13 6 3" xfId="7114" xr:uid="{7612B93B-831B-49FC-8E27-7B099190D51B}"/>
    <cellStyle name="Moneda 13 6 3 2" xfId="14643" xr:uid="{702632FA-B0CA-4E15-9C9E-65E4A131B9AC}"/>
    <cellStyle name="Moneda 13 6 4" xfId="10288" xr:uid="{89FD125E-C471-4303-B3EF-9CB5C4D4B70D}"/>
    <cellStyle name="Moneda 13 7" xfId="2830" xr:uid="{2D274C5E-EDFC-4C25-96DC-6FED48653C1A}"/>
    <cellStyle name="Moneda 13 7 2" xfId="5834" xr:uid="{27E24905-EE09-44CC-970A-0660B5A55B8D}"/>
    <cellStyle name="Moneda 13 7 2 2" xfId="13395" xr:uid="{1A47003A-1F97-4FA4-832C-F95B7F734BE1}"/>
    <cellStyle name="Moneda 13 7 3" xfId="7238" xr:uid="{49CDB2D1-1B98-4255-9A11-84CD4DDB0640}"/>
    <cellStyle name="Moneda 13 7 3 2" xfId="14767" xr:uid="{343B11BA-9DD1-4CB7-BF84-D628C6DE1CB8}"/>
    <cellStyle name="Moneda 13 7 4" xfId="10412" xr:uid="{3A68FA09-28DE-40C9-BDFA-007824A13EE4}"/>
    <cellStyle name="Moneda 13 8" xfId="2954" xr:uid="{80F7946C-77BF-4AD6-A2DE-52E750946C0E}"/>
    <cellStyle name="Moneda 13 8 2" xfId="5958" xr:uid="{8F7039CB-C424-42B9-808F-315EE98ABD01}"/>
    <cellStyle name="Moneda 13 8 2 2" xfId="13519" xr:uid="{9E8CFB1D-41B0-4B31-8C60-3C397765C3E5}"/>
    <cellStyle name="Moneda 13 8 3" xfId="7362" xr:uid="{2FF126B1-EB65-4BFE-A5D4-06F26E8206FE}"/>
    <cellStyle name="Moneda 13 8 3 2" xfId="14891" xr:uid="{0A0CCDED-281D-43A3-AE1C-62283265F65A}"/>
    <cellStyle name="Moneda 13 8 4" xfId="10536" xr:uid="{CCA027D8-709D-4F18-A732-980F9117CB90}"/>
    <cellStyle name="Moneda 13 9" xfId="3078" xr:uid="{AA65CAF1-E405-4690-AD50-4C709ADC6C8B}"/>
    <cellStyle name="Moneda 13 9 2" xfId="6082" xr:uid="{6CE315B7-49B5-4C2C-A8F1-4E0A0DF1FD82}"/>
    <cellStyle name="Moneda 13 9 2 2" xfId="13643" xr:uid="{65F2423E-52C1-4438-B25A-323F6AB56746}"/>
    <cellStyle name="Moneda 13 9 3" xfId="7486" xr:uid="{0DF06F1B-C449-48F2-AF13-F29637F4D6E7}"/>
    <cellStyle name="Moneda 13 9 3 2" xfId="15015" xr:uid="{C279E9B4-6553-4E96-9E69-ECD596070177}"/>
    <cellStyle name="Moneda 13 9 4" xfId="10660" xr:uid="{740681A5-DFEF-4C89-BDFB-47AB0926E974}"/>
    <cellStyle name="Moneda 130" xfId="575" xr:uid="{F6F98D85-B9B2-4DBA-931B-BA5A824DA777}"/>
    <cellStyle name="Moneda 130 2" xfId="1317" xr:uid="{66F70049-2404-4C50-9EC4-67FB47E15DE5}"/>
    <cellStyle name="Moneda 130 2 2" xfId="4277" xr:uid="{454CDFD2-DBB0-4787-A9B6-DFE1DF4FC70B}"/>
    <cellStyle name="Moneda 130 2 2 2" xfId="11845" xr:uid="{4CAE11F4-D2D0-44DB-9AA3-7D6FD5914621}"/>
    <cellStyle name="Moneda 130 2 3" xfId="8925" xr:uid="{CAF68B3B-FBBE-49FC-89E8-E9CABF21A73E}"/>
    <cellStyle name="Moneda 130 3" xfId="1681" xr:uid="{CBB60CE0-975A-4DAE-A4AE-381D4964308B}"/>
    <cellStyle name="Moneda 130 3 2" xfId="4641" xr:uid="{A5415FAC-1937-4261-930C-4598348BFA46}"/>
    <cellStyle name="Moneda 130 3 2 2" xfId="12209" xr:uid="{C2B65269-3F55-477E-A42A-F1F8824AF9F3}"/>
    <cellStyle name="Moneda 130 3 3" xfId="9289" xr:uid="{3C36B0B4-133F-4283-ACD4-30BEF1B45984}"/>
    <cellStyle name="Moneda 130 4" xfId="2060" xr:uid="{6A5DBE6B-0E7E-4EB1-8737-6229A5F2EA06}"/>
    <cellStyle name="Moneda 130 4 2" xfId="5019" xr:uid="{9DC6454E-36D8-49A8-8A4A-110348BC94B3}"/>
    <cellStyle name="Moneda 130 4 2 2" xfId="12587" xr:uid="{5B2652A2-579D-4026-898F-AA43940360F2}"/>
    <cellStyle name="Moneda 130 4 3" xfId="9667" xr:uid="{4C560546-380D-48A4-8C85-48B3A5750F35}"/>
    <cellStyle name="Moneda 130 5" xfId="3746" xr:uid="{42AAF1D4-FFB7-4B56-91BC-CB091AB62686}"/>
    <cellStyle name="Moneda 130 5 2" xfId="11314" xr:uid="{2727C526-6794-4E40-9BE3-142175BBA4FB}"/>
    <cellStyle name="Moneda 130 6" xfId="8394" xr:uid="{DA3DE8D5-B0C7-4A28-8F4F-15E74975770E}"/>
    <cellStyle name="Moneda 131" xfId="578" xr:uid="{02F221E0-975A-4AEF-8BD9-EA84C4E4BB76}"/>
    <cellStyle name="Moneda 131 2" xfId="1319" xr:uid="{C1B042C3-07E5-407F-AD72-1118EEECDF48}"/>
    <cellStyle name="Moneda 131 2 2" xfId="4279" xr:uid="{8D789CAB-1110-4995-8DFC-8F7D3E4254E8}"/>
    <cellStyle name="Moneda 131 2 2 2" xfId="11847" xr:uid="{90A4CF79-6C9D-4AC7-BFDD-C6D52BB29141}"/>
    <cellStyle name="Moneda 131 2 3" xfId="8927" xr:uid="{6DABC5E4-8A74-4D98-A1A5-C4439F2754AF}"/>
    <cellStyle name="Moneda 131 3" xfId="1683" xr:uid="{DDAC82E8-A1B8-464B-BAA4-9F6BB93CEBA6}"/>
    <cellStyle name="Moneda 131 3 2" xfId="4643" xr:uid="{2E0D49BD-1488-49D4-8625-C8538A4972A5}"/>
    <cellStyle name="Moneda 131 3 2 2" xfId="12211" xr:uid="{9D0E9FEF-343B-4224-96F1-B595905961F8}"/>
    <cellStyle name="Moneda 131 3 3" xfId="9291" xr:uid="{E6B35DAD-CBD7-4869-8F19-8FF5C4E1D794}"/>
    <cellStyle name="Moneda 131 4" xfId="2062" xr:uid="{AEA45868-4857-4FE3-8243-9B7C554E0936}"/>
    <cellStyle name="Moneda 131 4 2" xfId="5021" xr:uid="{7E62233A-1514-4D65-A115-BF6D765FDA0C}"/>
    <cellStyle name="Moneda 131 4 2 2" xfId="12589" xr:uid="{2BD1ED86-6E9A-4A3A-B7F1-759DA314B3CA}"/>
    <cellStyle name="Moneda 131 4 3" xfId="9669" xr:uid="{C7E35DF0-2715-4B26-B34A-788CE867D068}"/>
    <cellStyle name="Moneda 131 5" xfId="3748" xr:uid="{CC47CB72-E4ED-4554-8E38-19F6383C5293}"/>
    <cellStyle name="Moneda 131 5 2" xfId="11316" xr:uid="{DBB9AC8C-2013-4BE5-9EE6-E2C1ED170314}"/>
    <cellStyle name="Moneda 131 6" xfId="8396" xr:uid="{892FDAB0-F4BC-47A5-ADBF-422B98B1116D}"/>
    <cellStyle name="Moneda 132" xfId="581" xr:uid="{017530C7-786D-4C13-953D-89FFF2FB5055}"/>
    <cellStyle name="Moneda 132 2" xfId="1321" xr:uid="{1A5FE01B-CBA1-40B8-BD1E-9CC8D76FEC46}"/>
    <cellStyle name="Moneda 132 2 2" xfId="4281" xr:uid="{45267423-157C-4C85-96D0-4A1D582BE181}"/>
    <cellStyle name="Moneda 132 2 2 2" xfId="11849" xr:uid="{5023D237-3635-4359-9895-F539918A02E0}"/>
    <cellStyle name="Moneda 132 2 3" xfId="8929" xr:uid="{89D1F643-01D2-43B2-8CAD-67D6C128855C}"/>
    <cellStyle name="Moneda 132 3" xfId="1685" xr:uid="{802D919A-069E-48F5-BCF9-18D426FA9B6C}"/>
    <cellStyle name="Moneda 132 3 2" xfId="4645" xr:uid="{9AA1B1CE-2B44-4A01-8535-DF8AE69872A6}"/>
    <cellStyle name="Moneda 132 3 2 2" xfId="12213" xr:uid="{94D3747D-31D9-4B17-873C-AB0BD39FB938}"/>
    <cellStyle name="Moneda 132 3 3" xfId="9293" xr:uid="{7CE72141-C85E-4B4C-87CD-911F5CF1E8EE}"/>
    <cellStyle name="Moneda 132 4" xfId="2064" xr:uid="{CFF7A599-7573-410E-A390-50144042D0A6}"/>
    <cellStyle name="Moneda 132 4 2" xfId="5023" xr:uid="{9D22A3C2-4121-4230-A2B1-F39BDDCCCE82}"/>
    <cellStyle name="Moneda 132 4 2 2" xfId="12591" xr:uid="{025DA56F-6E97-4C35-A558-3EB2922B0D8D}"/>
    <cellStyle name="Moneda 132 4 3" xfId="9671" xr:uid="{1A7F1160-8453-4C87-83C0-3046D6E90DEC}"/>
    <cellStyle name="Moneda 132 5" xfId="3750" xr:uid="{0226A7C7-2F99-468B-8B67-EF0E6D995131}"/>
    <cellStyle name="Moneda 132 5 2" xfId="11318" xr:uid="{FA14C97F-2357-4C7F-BD54-3312AF7AA371}"/>
    <cellStyle name="Moneda 132 6" xfId="8398" xr:uid="{3541CE6B-2ACE-462D-8CAA-4F2D819F2915}"/>
    <cellStyle name="Moneda 133" xfId="584" xr:uid="{CEBA8098-9CD6-450C-9A4F-BDB2CA20EAB3}"/>
    <cellStyle name="Moneda 133 2" xfId="1323" xr:uid="{FD370609-A28A-445D-A589-B8224CAEFA35}"/>
    <cellStyle name="Moneda 133 2 2" xfId="4283" xr:uid="{6FD54B3E-B70D-470C-B89B-7B69DEA54763}"/>
    <cellStyle name="Moneda 133 2 2 2" xfId="11851" xr:uid="{D4E1F554-C6B5-4A38-BDC0-B7BC3058C64F}"/>
    <cellStyle name="Moneda 133 2 3" xfId="8931" xr:uid="{13C902AF-4CCA-42A7-8ABF-77F63BBD005C}"/>
    <cellStyle name="Moneda 133 3" xfId="1687" xr:uid="{8175340A-9D11-491C-9BC7-4A01CF4669C8}"/>
    <cellStyle name="Moneda 133 3 2" xfId="4647" xr:uid="{BB3760F7-EA57-41D2-8CD8-9FDAF77C3E85}"/>
    <cellStyle name="Moneda 133 3 2 2" xfId="12215" xr:uid="{ECD9439B-5FBB-4683-9D30-D7E356510089}"/>
    <cellStyle name="Moneda 133 3 3" xfId="9295" xr:uid="{B37C3413-FED0-472A-B852-EC1783921BDC}"/>
    <cellStyle name="Moneda 133 4" xfId="2066" xr:uid="{83DBBE8E-CA45-466B-B073-D2D766276797}"/>
    <cellStyle name="Moneda 133 4 2" xfId="5025" xr:uid="{6D24C3DA-4A26-4B45-AD93-52B28CB5B85E}"/>
    <cellStyle name="Moneda 133 4 2 2" xfId="12593" xr:uid="{482CF91F-0DDB-41A7-BAC1-02F3D0EC58B6}"/>
    <cellStyle name="Moneda 133 4 3" xfId="9673" xr:uid="{A1CB23C3-1ECD-415C-AFA5-3D93F923155F}"/>
    <cellStyle name="Moneda 133 5" xfId="3752" xr:uid="{AEB87766-C872-41CA-AED2-835246CD4BDC}"/>
    <cellStyle name="Moneda 133 5 2" xfId="11320" xr:uid="{D5195779-BD67-4ACD-84EA-76FC96180189}"/>
    <cellStyle name="Moneda 133 6" xfId="8400" xr:uid="{9AE40860-7200-4830-AD34-D5ACA539C78A}"/>
    <cellStyle name="Moneda 134" xfId="587" xr:uid="{F6A7CA5A-548A-40EF-B1CC-1C947B121D23}"/>
    <cellStyle name="Moneda 134 2" xfId="1325" xr:uid="{AEBF6287-A08B-4E5E-8BFF-CD70BF8376DA}"/>
    <cellStyle name="Moneda 134 2 2" xfId="4285" xr:uid="{94B34789-E280-4AE1-BB35-4CC32A510FD4}"/>
    <cellStyle name="Moneda 134 2 2 2" xfId="11853" xr:uid="{FD620026-839C-4F87-B856-0DFA293A9746}"/>
    <cellStyle name="Moneda 134 2 3" xfId="8933" xr:uid="{78D864B4-A865-4DD3-A255-746D2A0725F8}"/>
    <cellStyle name="Moneda 134 3" xfId="1689" xr:uid="{F6CC5BFD-8A11-497E-9115-A6056477D9E4}"/>
    <cellStyle name="Moneda 134 3 2" xfId="4649" xr:uid="{2507B06B-22B9-496E-B70D-DECAD8BA634A}"/>
    <cellStyle name="Moneda 134 3 2 2" xfId="12217" xr:uid="{5C1E3377-5C63-44C0-BC97-988F67AE1658}"/>
    <cellStyle name="Moneda 134 3 3" xfId="9297" xr:uid="{56E5A753-78F0-47CE-846A-DF9D0F422EA8}"/>
    <cellStyle name="Moneda 134 4" xfId="2068" xr:uid="{E0AC71FB-2274-466E-A3AD-9815A2C8B50C}"/>
    <cellStyle name="Moneda 134 4 2" xfId="5027" xr:uid="{F8080ABF-62B6-48E3-B9CE-207478CDF2A0}"/>
    <cellStyle name="Moneda 134 4 2 2" xfId="12595" xr:uid="{1DAD2485-EB28-434F-BA87-B50D8C15354B}"/>
    <cellStyle name="Moneda 134 4 3" xfId="9675" xr:uid="{2775CBC6-A72F-42F1-9746-CDE3DD1FFE4B}"/>
    <cellStyle name="Moneda 134 5" xfId="3754" xr:uid="{B9FE29D8-CAE7-44C3-A282-307F7F6027E2}"/>
    <cellStyle name="Moneda 134 5 2" xfId="11322" xr:uid="{F9BA0E3B-0FBD-42FA-9591-50BF24F2AB0A}"/>
    <cellStyle name="Moneda 134 6" xfId="8402" xr:uid="{71714AB2-7783-4EAF-9A59-46AC16ECD315}"/>
    <cellStyle name="Moneda 135" xfId="590" xr:uid="{3C64AA49-33DE-4713-89EC-8A2487AF1D78}"/>
    <cellStyle name="Moneda 135 2" xfId="1327" xr:uid="{CACF535B-2874-45EE-9819-784E43CEAEC5}"/>
    <cellStyle name="Moneda 135 2 2" xfId="4287" xr:uid="{65EDD1FD-9A33-457B-B03E-823536B7777D}"/>
    <cellStyle name="Moneda 135 2 2 2" xfId="11855" xr:uid="{683902D1-6698-4319-8756-CA92BBFDFD3B}"/>
    <cellStyle name="Moneda 135 2 3" xfId="8935" xr:uid="{46FAA520-3CFC-497E-9BD9-D2E88C70B590}"/>
    <cellStyle name="Moneda 135 3" xfId="1691" xr:uid="{174BF26B-A27E-4532-958F-C309DE2760D2}"/>
    <cellStyle name="Moneda 135 3 2" xfId="4651" xr:uid="{E2186B6D-2842-4619-9979-888CBFC19A89}"/>
    <cellStyle name="Moneda 135 3 2 2" xfId="12219" xr:uid="{1AD3DAE9-F925-4490-B4DD-510D3827E43E}"/>
    <cellStyle name="Moneda 135 3 3" xfId="9299" xr:uid="{0838F0D2-F24C-498D-AD25-A491C27020F5}"/>
    <cellStyle name="Moneda 135 4" xfId="2070" xr:uid="{28C521FB-72D1-4060-ABC8-3AF17A661303}"/>
    <cellStyle name="Moneda 135 4 2" xfId="5029" xr:uid="{31832407-8AD9-480D-BA68-9CF12A6D8F21}"/>
    <cellStyle name="Moneda 135 4 2 2" xfId="12597" xr:uid="{F7F2C6D4-679F-4377-9752-521C213537AC}"/>
    <cellStyle name="Moneda 135 4 3" xfId="9677" xr:uid="{C3EC9C5B-A340-4064-8A94-77E00BB94D3B}"/>
    <cellStyle name="Moneda 135 5" xfId="3756" xr:uid="{E7DE1F2C-8A18-44EE-B352-E23B7256371F}"/>
    <cellStyle name="Moneda 135 5 2" xfId="11324" xr:uid="{65730E33-35D8-4724-8FD2-78C50F233D49}"/>
    <cellStyle name="Moneda 135 6" xfId="8404" xr:uid="{06290EE5-B283-4436-B70E-09F74196CC4C}"/>
    <cellStyle name="Moneda 136" xfId="593" xr:uid="{12D935D5-21F9-4D38-A09A-A4DF44A4C76A}"/>
    <cellStyle name="Moneda 136 2" xfId="1329" xr:uid="{C5B4643F-2236-4632-A9F4-D7D6D2C610AC}"/>
    <cellStyle name="Moneda 136 2 2" xfId="4289" xr:uid="{EDEF239A-5929-4449-80F5-0DBA06A8D4B8}"/>
    <cellStyle name="Moneda 136 2 2 2" xfId="11857" xr:uid="{8C50FD8F-108F-4097-9F42-0EAED936EFC6}"/>
    <cellStyle name="Moneda 136 2 3" xfId="8937" xr:uid="{79E8CB80-8776-45F4-B65F-90C85229A6C2}"/>
    <cellStyle name="Moneda 136 3" xfId="1693" xr:uid="{0D12CAD0-DC11-4528-8398-E7E61BF27FC6}"/>
    <cellStyle name="Moneda 136 3 2" xfId="4653" xr:uid="{A61DA9BC-986C-4D5B-9563-9F437E99D902}"/>
    <cellStyle name="Moneda 136 3 2 2" xfId="12221" xr:uid="{91E3C867-B130-493E-9148-8498E8F80ACF}"/>
    <cellStyle name="Moneda 136 3 3" xfId="9301" xr:uid="{5ECE327B-731B-454F-9E0D-377D3BA97E6F}"/>
    <cellStyle name="Moneda 136 4" xfId="2072" xr:uid="{7D050E20-11E2-4609-8D96-FCC6BA078226}"/>
    <cellStyle name="Moneda 136 4 2" xfId="5031" xr:uid="{E9F4CE6D-8C28-4B85-9392-DC153AC0D14C}"/>
    <cellStyle name="Moneda 136 4 2 2" xfId="12599" xr:uid="{5CA1F1C3-0E01-4ADB-85EE-419599C2B5D7}"/>
    <cellStyle name="Moneda 136 4 3" xfId="9679" xr:uid="{F25C40FF-1C64-40EE-9713-425643C023D4}"/>
    <cellStyle name="Moneda 136 5" xfId="3758" xr:uid="{86A6A607-C47A-48E7-9041-8A1C2A1ADAE4}"/>
    <cellStyle name="Moneda 136 5 2" xfId="11326" xr:uid="{0F804603-F3AA-4181-8F66-B7E68DCA9DA9}"/>
    <cellStyle name="Moneda 136 6" xfId="8406" xr:uid="{0FBCF62A-90D6-4FB0-A18E-E80C7A8F511F}"/>
    <cellStyle name="Moneda 137" xfId="596" xr:uid="{EFC143E8-722E-4F3A-8A05-B67AEDDB91E9}"/>
    <cellStyle name="Moneda 137 2" xfId="1331" xr:uid="{A9B56F02-3DBD-46DB-8759-67A51ADA53B0}"/>
    <cellStyle name="Moneda 137 2 2" xfId="4291" xr:uid="{49FCD5AA-002F-4F02-808D-6D5ED3686524}"/>
    <cellStyle name="Moneda 137 2 2 2" xfId="11859" xr:uid="{E448A94A-A63B-4D1C-982A-322D7205CABD}"/>
    <cellStyle name="Moneda 137 2 3" xfId="8939" xr:uid="{ED68F6BD-09B4-4604-BC64-5E34476A51E8}"/>
    <cellStyle name="Moneda 137 3" xfId="1695" xr:uid="{FBCD409D-ECFD-4AA1-9481-C60B82C67016}"/>
    <cellStyle name="Moneda 137 3 2" xfId="4655" xr:uid="{10F7234F-4B2B-4B6B-A28E-C9BA212CCA28}"/>
    <cellStyle name="Moneda 137 3 2 2" xfId="12223" xr:uid="{18F0B50B-04B6-4374-B80A-AA9B0B5C33E7}"/>
    <cellStyle name="Moneda 137 3 3" xfId="9303" xr:uid="{02C9DC55-5BDE-499E-A41B-A188D332F005}"/>
    <cellStyle name="Moneda 137 4" xfId="2074" xr:uid="{DA253543-A9BE-415D-9A14-F4BC52BBAB51}"/>
    <cellStyle name="Moneda 137 4 2" xfId="5033" xr:uid="{E60DA8FC-69FE-40FA-B579-21E3B1BCFC58}"/>
    <cellStyle name="Moneda 137 4 2 2" xfId="12601" xr:uid="{5AC41049-2084-4060-8DD4-A994AFA7F4C7}"/>
    <cellStyle name="Moneda 137 4 3" xfId="9681" xr:uid="{D83F0703-D2B4-4AA4-88E8-BD7D2358D4FE}"/>
    <cellStyle name="Moneda 137 5" xfId="3760" xr:uid="{D6EA6A9C-07E5-42AF-B486-EE7D1D9E927B}"/>
    <cellStyle name="Moneda 137 5 2" xfId="11328" xr:uid="{E397D891-B147-4279-A319-79C26C5D9F89}"/>
    <cellStyle name="Moneda 137 6" xfId="8408" xr:uid="{B1766F14-CA1B-46DF-9B73-C680AF1DEE1A}"/>
    <cellStyle name="Moneda 138" xfId="599" xr:uid="{251C1732-5975-4F5F-8A5F-F5D38D6C188B}"/>
    <cellStyle name="Moneda 138 2" xfId="1333" xr:uid="{34B993AF-8863-48FE-A6C2-E6C04C8150B5}"/>
    <cellStyle name="Moneda 138 2 2" xfId="4293" xr:uid="{2381AB1D-F230-4B00-A020-FC7D0DC80A02}"/>
    <cellStyle name="Moneda 138 2 2 2" xfId="11861" xr:uid="{D9842708-5DAF-49C0-B3CB-9C0B1F8D2D38}"/>
    <cellStyle name="Moneda 138 2 3" xfId="8941" xr:uid="{08004BD6-BEA6-4685-9D6D-81EE3012D4B0}"/>
    <cellStyle name="Moneda 138 3" xfId="1697" xr:uid="{079D13DE-AD13-4937-B20C-2FA2645501FD}"/>
    <cellStyle name="Moneda 138 3 2" xfId="4657" xr:uid="{CABDBDA0-2F9E-4680-8453-9FA06C734911}"/>
    <cellStyle name="Moneda 138 3 2 2" xfId="12225" xr:uid="{FF2AA570-3785-4E92-A7C0-CB9FF199E4F9}"/>
    <cellStyle name="Moneda 138 3 3" xfId="9305" xr:uid="{9FB98BDD-3F81-42CD-869B-0C0D91D95637}"/>
    <cellStyle name="Moneda 138 4" xfId="2076" xr:uid="{8D185F05-AADD-4874-8D19-3DBB2209E16B}"/>
    <cellStyle name="Moneda 138 4 2" xfId="5035" xr:uid="{D2294A99-CA18-45E2-89F4-952186A9E7B9}"/>
    <cellStyle name="Moneda 138 4 2 2" xfId="12603" xr:uid="{264703AC-003D-4044-B34A-291B33CFA19B}"/>
    <cellStyle name="Moneda 138 4 3" xfId="9683" xr:uid="{9928C73B-6BFE-4EA4-A76E-DD505D68797A}"/>
    <cellStyle name="Moneda 138 5" xfId="3762" xr:uid="{33C3D96A-F467-4210-B075-55F852DDDF11}"/>
    <cellStyle name="Moneda 138 5 2" xfId="11330" xr:uid="{97E86E4D-D3D8-4138-9B9F-23C3EC2934D6}"/>
    <cellStyle name="Moneda 138 6" xfId="8410" xr:uid="{B93F389A-7D71-487A-8667-89DB1E37EB82}"/>
    <cellStyle name="Moneda 139" xfId="602" xr:uid="{5CC97564-ABC1-4416-8512-48D66211DDEA}"/>
    <cellStyle name="Moneda 139 2" xfId="1335" xr:uid="{0164B3FC-3E48-42F0-B5DE-651AEECEBCCE}"/>
    <cellStyle name="Moneda 139 2 2" xfId="4295" xr:uid="{EEDE6C3A-675F-46AB-9B9D-60FB5ED27E1C}"/>
    <cellStyle name="Moneda 139 2 2 2" xfId="11863" xr:uid="{7D60F5CD-4A0F-40A4-B700-268752ABEA34}"/>
    <cellStyle name="Moneda 139 2 3" xfId="8943" xr:uid="{3E12CDED-CACC-4337-AAA4-EC26ED86E453}"/>
    <cellStyle name="Moneda 139 3" xfId="1699" xr:uid="{64C4D107-F1C4-47B7-838A-56E33861759A}"/>
    <cellStyle name="Moneda 139 3 2" xfId="4659" xr:uid="{4875A2E7-779A-48B6-AF55-1611BF038B60}"/>
    <cellStyle name="Moneda 139 3 2 2" xfId="12227" xr:uid="{5914FCE5-A69E-40DC-91D1-35555CAF4A3E}"/>
    <cellStyle name="Moneda 139 3 3" xfId="9307" xr:uid="{36EB71E8-E6F0-47CA-91CE-DECCF9AF64CE}"/>
    <cellStyle name="Moneda 139 4" xfId="2078" xr:uid="{A87B69E9-9B37-4302-99C1-294136E55C82}"/>
    <cellStyle name="Moneda 139 4 2" xfId="5037" xr:uid="{0BE932D5-E223-46ED-BFEE-EDA0EACDD803}"/>
    <cellStyle name="Moneda 139 4 2 2" xfId="12605" xr:uid="{BB946D58-A115-4B4A-BC44-F9D7F44D8FBD}"/>
    <cellStyle name="Moneda 139 4 3" xfId="9685" xr:uid="{EA5CE7B7-50B5-474F-908F-12BA01F92840}"/>
    <cellStyle name="Moneda 139 5" xfId="3764" xr:uid="{24F85228-B96F-424B-B9D0-8CF2ACC16562}"/>
    <cellStyle name="Moneda 139 5 2" xfId="11332" xr:uid="{566FDE57-F946-4F63-8A90-2E14DEDCA09C}"/>
    <cellStyle name="Moneda 139 6" xfId="8412" xr:uid="{CD30D2EC-74C6-407F-997A-A18D9D90A104}"/>
    <cellStyle name="Moneda 14" xfId="78" xr:uid="{00000000-0005-0000-0000-000053000000}"/>
    <cellStyle name="Moneda 14 10" xfId="3204" xr:uid="{7F26B0ED-E1A9-450F-964F-CFB27CDF0C3F}"/>
    <cellStyle name="Moneda 14 10 2" xfId="6208" xr:uid="{87AF7EEA-3216-4374-BB90-EC5E23F27D08}"/>
    <cellStyle name="Moneda 14 10 2 2" xfId="13769" xr:uid="{49DE66EE-0191-4EB8-9D4A-79B15F399992}"/>
    <cellStyle name="Moneda 14 10 3" xfId="7612" xr:uid="{D02700A3-A486-467D-B47A-F0D09605E3DC}"/>
    <cellStyle name="Moneda 14 10 3 2" xfId="15141" xr:uid="{267072AC-9BA6-49CA-8A53-C402338F714E}"/>
    <cellStyle name="Moneda 14 10 4" xfId="10786" xr:uid="{6D1C4758-4023-420F-A1E1-EA925D102732}"/>
    <cellStyle name="Moneda 14 11" xfId="3332" xr:uid="{D8C0BC6F-7088-47B3-8FFB-5F76B2271565}"/>
    <cellStyle name="Moneda 14 11 2" xfId="6334" xr:uid="{AA6E69FC-CC03-434E-90F7-9B40FF37023A}"/>
    <cellStyle name="Moneda 14 11 2 2" xfId="13895" xr:uid="{AD068E19-F4C0-44EF-9EF4-E1EBF4234C56}"/>
    <cellStyle name="Moneda 14 11 3" xfId="7738" xr:uid="{FB79386D-DFF0-4E00-A2A9-D13507388DEE}"/>
    <cellStyle name="Moneda 14 11 3 2" xfId="15267" xr:uid="{BEF0878A-E326-44D6-921B-BEC59F962B2E}"/>
    <cellStyle name="Moneda 14 11 4" xfId="10912" xr:uid="{E9BFE5E1-9162-4013-ABB8-402B857C999C}"/>
    <cellStyle name="Moneda 14 12" xfId="2329" xr:uid="{72D5180F-8FBB-45E2-B067-8B5110556459}"/>
    <cellStyle name="Moneda 14 12 2" xfId="6470" xr:uid="{1E206D43-C640-49B4-A8B6-CE17C58336F1}"/>
    <cellStyle name="Moneda 14 12 2 2" xfId="14026" xr:uid="{B54AC969-F757-4A22-B647-3DE0756B3C24}"/>
    <cellStyle name="Moneda 14 12 3" xfId="7869" xr:uid="{511C9C7A-7D0B-4498-868C-6D42020DEC2A}"/>
    <cellStyle name="Moneda 14 12 3 2" xfId="15398" xr:uid="{25BFEE23-4CF0-480B-8C94-D159C84CC691}"/>
    <cellStyle name="Moneda 14 12 4" xfId="9927" xr:uid="{4BCF4A8B-37B7-4B49-8FD4-0498F673C90A}"/>
    <cellStyle name="Moneda 14 13" xfId="3514" xr:uid="{01DB748A-02A5-4F0F-8BD3-DE1C57632AAE}"/>
    <cellStyle name="Moneda 14 13 2" xfId="11082" xr:uid="{A1F0648E-1A37-4998-82E6-4775602734B1}"/>
    <cellStyle name="Moneda 14 14" xfId="5349" xr:uid="{E01FA7B6-5A10-4B78-8D38-20791BB80AE3}"/>
    <cellStyle name="Moneda 14 14 2" xfId="12910" xr:uid="{7485079C-F30B-4A8A-B79D-D24C89BB075A}"/>
    <cellStyle name="Moneda 14 15" xfId="6753" xr:uid="{7A79C9E5-ABB7-48E2-8922-CDA1D15E7407}"/>
    <cellStyle name="Moneda 14 15 2" xfId="14282" xr:uid="{A9B7E32C-A401-49C5-A63A-A535A4146A2F}"/>
    <cellStyle name="Moneda 14 16" xfId="8162" xr:uid="{5AF9274E-1886-49A3-9A87-AAE0092D2095}"/>
    <cellStyle name="Moneda 14 17" xfId="226" xr:uid="{A1752681-547A-48E8-8FBC-C3B223E1A94C}"/>
    <cellStyle name="Moneda 14 2" xfId="1085" xr:uid="{6B0B9AD2-3EB3-4844-8C3B-DC63F6884044}"/>
    <cellStyle name="Moneda 14 2 10" xfId="3362" xr:uid="{0D9962E4-5BC2-4A01-BAAD-8041BD59200F}"/>
    <cellStyle name="Moneda 14 2 10 2" xfId="6364" xr:uid="{CA7CB07E-C825-4269-9C93-473B16A4D55C}"/>
    <cellStyle name="Moneda 14 2 10 2 2" xfId="13925" xr:uid="{39668A77-45D9-4790-84A5-E346CEB210CD}"/>
    <cellStyle name="Moneda 14 2 10 3" xfId="7768" xr:uid="{125C788C-1BF3-4FC9-B769-EE51DCCEFB6D}"/>
    <cellStyle name="Moneda 14 2 10 3 2" xfId="15297" xr:uid="{E060EF9B-D047-4DD1-BB76-F61D297AEE2D}"/>
    <cellStyle name="Moneda 14 2 10 4" xfId="10942" xr:uid="{207391E7-BB9F-4F54-8D00-A43B51B310CA}"/>
    <cellStyle name="Moneda 14 2 11" xfId="2366" xr:uid="{082207EA-84B5-4EA1-8C9D-9D5A7A4AC9B9}"/>
    <cellStyle name="Moneda 14 2 11 2" xfId="6500" xr:uid="{7FB76855-6D98-48B7-A519-8A03AE2EACC1}"/>
    <cellStyle name="Moneda 14 2 11 2 2" xfId="14056" xr:uid="{D67DC542-8949-47D5-AED2-91DA71F2CBE9}"/>
    <cellStyle name="Moneda 14 2 11 3" xfId="7899" xr:uid="{87A132AF-02DC-4EF8-8FF5-CF44413B8176}"/>
    <cellStyle name="Moneda 14 2 11 3 2" xfId="15428" xr:uid="{9169267D-FDBD-4543-BED7-F4A0D6F10096}"/>
    <cellStyle name="Moneda 14 2 11 4" xfId="9957" xr:uid="{42DF8006-1B4D-49F0-8049-5110079E145B}"/>
    <cellStyle name="Moneda 14 2 12" xfId="4045" xr:uid="{AB8BD28E-1FB2-4DEC-A4ED-B30138D1BAFF}"/>
    <cellStyle name="Moneda 14 2 12 2" xfId="11613" xr:uid="{8166044D-9F48-4213-9F5C-A324B6C7A4ED}"/>
    <cellStyle name="Moneda 14 2 13" xfId="5379" xr:uid="{F53D8D79-C065-433D-877B-25DA1F26765F}"/>
    <cellStyle name="Moneda 14 2 13 2" xfId="12940" xr:uid="{146E4C54-6959-4C43-85FE-F6D5D82C5484}"/>
    <cellStyle name="Moneda 14 2 14" xfId="6783" xr:uid="{C37104FD-5511-407C-BB58-52AC74BAF905}"/>
    <cellStyle name="Moneda 14 2 14 2" xfId="14312" xr:uid="{A13B8919-5BE6-46BE-A52D-1CB83A20477F}"/>
    <cellStyle name="Moneda 14 2 15" xfId="8693" xr:uid="{8A2C26B5-3773-4A86-936E-42428A93FE6E}"/>
    <cellStyle name="Moneda 14 2 2" xfId="2427" xr:uid="{1EE88DB2-E6AA-41E9-B748-237EFF674600}"/>
    <cellStyle name="Moneda 14 2 2 10" xfId="6558" xr:uid="{1DFC83FD-2620-4D76-B55C-0EB7A56FA50C}"/>
    <cellStyle name="Moneda 14 2 2 10 2" xfId="7957" xr:uid="{0FDE6EF7-F3A1-4A08-B835-F85AC1706929}"/>
    <cellStyle name="Moneda 14 2 2 10 2 2" xfId="15486" xr:uid="{ED10CBA1-4E74-4536-BD03-37913D61892F}"/>
    <cellStyle name="Moneda 14 2 2 10 3" xfId="14114" xr:uid="{DD953981-7760-44BF-A9F6-94828AE30590}"/>
    <cellStyle name="Moneda 14 2 2 11" xfId="5437" xr:uid="{3135C214-5D3A-4A49-BA95-379445BD8171}"/>
    <cellStyle name="Moneda 14 2 2 11 2" xfId="12998" xr:uid="{3CEE70A4-5266-48F7-82DD-2C76649FF3B7}"/>
    <cellStyle name="Moneda 14 2 2 12" xfId="6841" xr:uid="{648954F8-D320-432D-93FB-F8DB8EAB92E5}"/>
    <cellStyle name="Moneda 14 2 2 12 2" xfId="14370" xr:uid="{787660B9-D4B4-48BB-961F-7057123A9B6D}"/>
    <cellStyle name="Moneda 14 2 2 13" xfId="10015" xr:uid="{20FFC1CE-2F11-4001-81C0-E13F4D412F9C}"/>
    <cellStyle name="Moneda 14 2 2 2" xfId="2551" xr:uid="{19A5E963-184C-489E-9E82-6F2C01F3132A}"/>
    <cellStyle name="Moneda 14 2 2 2 2" xfId="6693" xr:uid="{C0BAA4DA-CE4D-41C7-9F8D-FA3745BE3186}"/>
    <cellStyle name="Moneda 14 2 2 2 2 2" xfId="8079" xr:uid="{D0A1B723-9DA7-47F7-A877-DDFB16E468F1}"/>
    <cellStyle name="Moneda 14 2 2 2 2 2 2" xfId="15608" xr:uid="{7575A6CA-920A-4A70-BBC3-0ADC8F1E2250}"/>
    <cellStyle name="Moneda 14 2 2 2 2 3" xfId="14236" xr:uid="{BAFA8680-4299-41B4-841C-441E118D6EC2}"/>
    <cellStyle name="Moneda 14 2 2 2 3" xfId="5557" xr:uid="{02E68541-5E1C-4D6E-964A-0E9E37A331A4}"/>
    <cellStyle name="Moneda 14 2 2 2 3 2" xfId="13118" xr:uid="{6E76D384-D9B3-401E-A0B8-5FECCF8D74C8}"/>
    <cellStyle name="Moneda 14 2 2 2 4" xfId="6961" xr:uid="{305154AD-642D-4077-AEB7-24955C01CCED}"/>
    <cellStyle name="Moneda 14 2 2 2 4 2" xfId="14490" xr:uid="{66992F53-7B59-46D2-983B-3637EDEF00F9}"/>
    <cellStyle name="Moneda 14 2 2 2 5" xfId="10135" xr:uid="{B1132856-D296-4BBC-A0E8-64FBDE8F65FD}"/>
    <cellStyle name="Moneda 14 2 2 3" xfId="2672" xr:uid="{0D9B5A1B-BD7E-4574-87F9-0912452D4C80}"/>
    <cellStyle name="Moneda 14 2 2 3 2" xfId="5677" xr:uid="{95BD2532-F0D8-46D5-8248-D590E752414C}"/>
    <cellStyle name="Moneda 14 2 2 3 2 2" xfId="13238" xr:uid="{AA81FC58-DA9E-44B7-A7F6-D975F92C0468}"/>
    <cellStyle name="Moneda 14 2 2 3 3" xfId="7081" xr:uid="{B156A5FA-967F-41AA-8881-5650F2FE4214}"/>
    <cellStyle name="Moneda 14 2 2 3 3 2" xfId="14610" xr:uid="{BCFCB921-C51A-47AE-AD7E-B90C1AFA53BA}"/>
    <cellStyle name="Moneda 14 2 2 3 4" xfId="10255" xr:uid="{22539ECC-D4A8-455C-BAB4-810FEE3D1FDF}"/>
    <cellStyle name="Moneda 14 2 2 4" xfId="2794" xr:uid="{2374FF7E-4487-4B39-B8A4-9A541677F2AF}"/>
    <cellStyle name="Moneda 14 2 2 4 2" xfId="5799" xr:uid="{EAF2EBFE-AE54-4B4F-B68B-8DA3314C2441}"/>
    <cellStyle name="Moneda 14 2 2 4 2 2" xfId="13360" xr:uid="{B5172603-7A2E-4B0A-A556-B678C3AC4761}"/>
    <cellStyle name="Moneda 14 2 2 4 3" xfId="7203" xr:uid="{75AEC107-91CD-4654-AA43-7F212D8418EB}"/>
    <cellStyle name="Moneda 14 2 2 4 3 2" xfId="14732" xr:uid="{622188E9-F281-465B-8543-C70A293239CD}"/>
    <cellStyle name="Moneda 14 2 2 4 4" xfId="10377" xr:uid="{FD16354A-0ED3-4ACF-B87B-3BD7442BF7FC}"/>
    <cellStyle name="Moneda 14 2 2 5" xfId="2919" xr:uid="{827706CD-E5B3-4BDC-BD0B-97062B8D23D4}"/>
    <cellStyle name="Moneda 14 2 2 5 2" xfId="5923" xr:uid="{0FB80CFB-EBB1-42E2-993B-61534BA1DF3D}"/>
    <cellStyle name="Moneda 14 2 2 5 2 2" xfId="13484" xr:uid="{FF3A84A0-644D-41AA-ADAA-991C6E90D1E1}"/>
    <cellStyle name="Moneda 14 2 2 5 3" xfId="7327" xr:uid="{39656A64-BA54-4732-81A6-CB0A6CD98BEA}"/>
    <cellStyle name="Moneda 14 2 2 5 3 2" xfId="14856" xr:uid="{96165636-1E4D-497F-85C4-AD0802FDAF03}"/>
    <cellStyle name="Moneda 14 2 2 5 4" xfId="10501" xr:uid="{839D4976-D677-4B7B-946A-02CA297FE4A3}"/>
    <cellStyle name="Moneda 14 2 2 6" xfId="3043" xr:uid="{6DAFA828-EC05-46FE-9823-A4199E1001CD}"/>
    <cellStyle name="Moneda 14 2 2 6 2" xfId="6047" xr:uid="{B1FAD651-2ABF-4CAD-A7A7-71E40EC06D00}"/>
    <cellStyle name="Moneda 14 2 2 6 2 2" xfId="13608" xr:uid="{EFA3CECE-063F-480B-BF00-41579382CDFB}"/>
    <cellStyle name="Moneda 14 2 2 6 3" xfId="7451" xr:uid="{E0DC87BF-61C6-4A7B-953B-9CBCE4CAA546}"/>
    <cellStyle name="Moneda 14 2 2 6 3 2" xfId="14980" xr:uid="{40BF3B7F-67FC-46C2-A2A6-2BDDEE09AEC2}"/>
    <cellStyle name="Moneda 14 2 2 6 4" xfId="10625" xr:uid="{48DBCC46-E2E3-4231-A3AA-E2DDCDB22219}"/>
    <cellStyle name="Moneda 14 2 2 7" xfId="3167" xr:uid="{0B1FF0A7-0381-4494-BBFB-A04B460AB193}"/>
    <cellStyle name="Moneda 14 2 2 7 2" xfId="6171" xr:uid="{9C5D9802-F96D-4E31-9D72-4B0917A43FB8}"/>
    <cellStyle name="Moneda 14 2 2 7 2 2" xfId="13732" xr:uid="{31FF8129-EC00-4A85-8981-0D21FE502F96}"/>
    <cellStyle name="Moneda 14 2 2 7 3" xfId="7575" xr:uid="{236C5C05-C2D0-41C5-8566-3C29C9F4CFDE}"/>
    <cellStyle name="Moneda 14 2 2 7 3 2" xfId="15104" xr:uid="{5882B845-9A2D-4850-9653-86A40BA25A81}"/>
    <cellStyle name="Moneda 14 2 2 7 4" xfId="10749" xr:uid="{2389A46A-8CE0-48BA-8DF8-BCDDC2CE09A7}"/>
    <cellStyle name="Moneda 14 2 2 8" xfId="3292" xr:uid="{DABB971B-3D92-40FF-B896-687EA374C00F}"/>
    <cellStyle name="Moneda 14 2 2 8 2" xfId="6296" xr:uid="{33783876-38B5-4E44-9608-006EBA8781D9}"/>
    <cellStyle name="Moneda 14 2 2 8 2 2" xfId="13857" xr:uid="{A7E8B294-0116-4E52-8D73-82917BB81B84}"/>
    <cellStyle name="Moneda 14 2 2 8 3" xfId="7700" xr:uid="{71224B97-D0F2-4216-85A8-B4F7E882558D}"/>
    <cellStyle name="Moneda 14 2 2 8 3 2" xfId="15229" xr:uid="{5CA44E97-E625-4AAB-847C-4BB5763377F4}"/>
    <cellStyle name="Moneda 14 2 2 8 4" xfId="10874" xr:uid="{CEAB08CA-5FFA-4C12-80C1-557FF6011F76}"/>
    <cellStyle name="Moneda 14 2 2 9" xfId="3420" xr:uid="{6BB144D5-8062-40E4-8082-6F0B382DB0A9}"/>
    <cellStyle name="Moneda 14 2 2 9 2" xfId="6422" xr:uid="{80BBB38E-08BA-42D0-AB08-BD7D933D9472}"/>
    <cellStyle name="Moneda 14 2 2 9 2 2" xfId="13983" xr:uid="{845914F3-49CF-4074-BC5C-FC65082A33D0}"/>
    <cellStyle name="Moneda 14 2 2 9 3" xfId="7826" xr:uid="{618F7865-4C92-42AE-BDE8-2A36694FAA55}"/>
    <cellStyle name="Moneda 14 2 2 9 3 2" xfId="15355" xr:uid="{82F5B9DA-AABC-44F3-BBA0-10E31BCA4789}"/>
    <cellStyle name="Moneda 14 2 2 9 4" xfId="11000" xr:uid="{94203933-7727-466D-B742-01D989BA2C90}"/>
    <cellStyle name="Moneda 14 2 3" xfId="2493" xr:uid="{0726846A-E979-4898-A3BD-CEB9BD99F46B}"/>
    <cellStyle name="Moneda 14 2 3 2" xfId="6635" xr:uid="{14C43131-C4C0-491F-A964-1FE5CC5A6083}"/>
    <cellStyle name="Moneda 14 2 3 2 2" xfId="8021" xr:uid="{6793A351-E024-4CCF-B41C-281619899CB3}"/>
    <cellStyle name="Moneda 14 2 3 2 2 2" xfId="15550" xr:uid="{AE7A4F78-1AF3-4D3E-A252-B02C318460FD}"/>
    <cellStyle name="Moneda 14 2 3 2 3" xfId="14178" xr:uid="{A312DB18-1599-413A-89C5-472274A7605D}"/>
    <cellStyle name="Moneda 14 2 3 3" xfId="5499" xr:uid="{1FA16246-7FD3-4985-8278-84CE80E1B240}"/>
    <cellStyle name="Moneda 14 2 3 3 2" xfId="13060" xr:uid="{667FE06A-BC9C-4290-BB34-647AC4305A2A}"/>
    <cellStyle name="Moneda 14 2 3 4" xfId="6903" xr:uid="{94C75B95-5993-481B-9AF7-30BDB5F06E91}"/>
    <cellStyle name="Moneda 14 2 3 4 2" xfId="14432" xr:uid="{E3867A26-DB10-4391-8648-F8EFCADAFA6F}"/>
    <cellStyle name="Moneda 14 2 3 5" xfId="10077" xr:uid="{07DF1BE1-B1CC-46B5-B234-929169CBBDE4}"/>
    <cellStyle name="Moneda 14 2 4" xfId="2614" xr:uid="{D0CCBEFB-0815-4336-A3A3-C9A1DE065772}"/>
    <cellStyle name="Moneda 14 2 4 2" xfId="5619" xr:uid="{F30D61E9-87C6-45E4-BDF2-A3D0517BCEC5}"/>
    <cellStyle name="Moneda 14 2 4 2 2" xfId="13180" xr:uid="{213622CB-C381-403D-AE22-0002256B89C9}"/>
    <cellStyle name="Moneda 14 2 4 3" xfId="7023" xr:uid="{9C2881BC-39E8-4051-92FB-CECE0A340877}"/>
    <cellStyle name="Moneda 14 2 4 3 2" xfId="14552" xr:uid="{BCBBFF4D-505D-44F2-B2C0-48E04103DF5C}"/>
    <cellStyle name="Moneda 14 2 4 4" xfId="10197" xr:uid="{2F9EA7CD-BDC1-4EFD-B7E3-236438B76F13}"/>
    <cellStyle name="Moneda 14 2 5" xfId="2736" xr:uid="{C1891140-148A-49C1-958C-BD32D28E14D0}"/>
    <cellStyle name="Moneda 14 2 5 2" xfId="5741" xr:uid="{8233C000-314E-4D8C-B551-7593F177043E}"/>
    <cellStyle name="Moneda 14 2 5 2 2" xfId="13302" xr:uid="{BF91D8CA-616C-4BEA-910C-E5B38887F084}"/>
    <cellStyle name="Moneda 14 2 5 3" xfId="7145" xr:uid="{5604A84B-5329-44E7-A5C9-BFC5F40D1F3F}"/>
    <cellStyle name="Moneda 14 2 5 3 2" xfId="14674" xr:uid="{DDEBB2D9-5914-40FE-BB2D-7AA2B3805F40}"/>
    <cellStyle name="Moneda 14 2 5 4" xfId="10319" xr:uid="{4A18FC8D-8D01-4E60-AE9A-A53794EB8D85}"/>
    <cellStyle name="Moneda 14 2 6" xfId="2861" xr:uid="{3C13068A-B24A-49F0-B8BD-5B84A179A845}"/>
    <cellStyle name="Moneda 14 2 6 2" xfId="5865" xr:uid="{ECE427F9-0CED-416F-8C7A-514DAD4612F6}"/>
    <cellStyle name="Moneda 14 2 6 2 2" xfId="13426" xr:uid="{6CDFD4B6-518A-454F-AAB7-F7032D0185D3}"/>
    <cellStyle name="Moneda 14 2 6 3" xfId="7269" xr:uid="{5300AAB7-D8FD-4CC4-BA3C-D5ED0BF5D41C}"/>
    <cellStyle name="Moneda 14 2 6 3 2" xfId="14798" xr:uid="{014487EA-F891-40E9-B1F2-5FADC66AD9F9}"/>
    <cellStyle name="Moneda 14 2 6 4" xfId="10443" xr:uid="{7FCE05C5-7146-404A-AB70-88251D1A6740}"/>
    <cellStyle name="Moneda 14 2 7" xfId="2985" xr:uid="{991B7129-C28B-4261-BDD5-AAFB0BAA3A16}"/>
    <cellStyle name="Moneda 14 2 7 2" xfId="5989" xr:uid="{0D00EB35-BE56-4A30-95B9-0149AD982EEB}"/>
    <cellStyle name="Moneda 14 2 7 2 2" xfId="13550" xr:uid="{B6458201-2B39-4FA0-A392-9AD1AB86F5F0}"/>
    <cellStyle name="Moneda 14 2 7 3" xfId="7393" xr:uid="{17E79843-FED2-4D39-8B4E-416A6127DBFD}"/>
    <cellStyle name="Moneda 14 2 7 3 2" xfId="14922" xr:uid="{23087269-7B54-4622-8E12-8A3810951AB6}"/>
    <cellStyle name="Moneda 14 2 7 4" xfId="10567" xr:uid="{4819C358-4BA3-45E3-8B30-C0C7CAC40CDC}"/>
    <cellStyle name="Moneda 14 2 8" xfId="3109" xr:uid="{0B1B4F51-C7AA-4BEC-B9A4-174DD4A9CCBB}"/>
    <cellStyle name="Moneda 14 2 8 2" xfId="6113" xr:uid="{2B957AC8-5E18-4C55-9748-7919F835FE76}"/>
    <cellStyle name="Moneda 14 2 8 2 2" xfId="13674" xr:uid="{05B1D797-FF19-4F90-9D68-1F63280B1854}"/>
    <cellStyle name="Moneda 14 2 8 3" xfId="7517" xr:uid="{3C3CF82D-73E3-4945-A090-9822884A487A}"/>
    <cellStyle name="Moneda 14 2 8 3 2" xfId="15046" xr:uid="{97E1C46B-2E9F-4C90-B2D0-D47241E60629}"/>
    <cellStyle name="Moneda 14 2 8 4" xfId="10691" xr:uid="{F0FE29FD-9A3C-4BA2-B1BE-46F5D9FDAF5C}"/>
    <cellStyle name="Moneda 14 2 9" xfId="3234" xr:uid="{F0E101B0-0D5A-43A5-AEFD-A05940FBD0F5}"/>
    <cellStyle name="Moneda 14 2 9 2" xfId="6238" xr:uid="{E7622390-9C31-4022-9D3C-1D8422E2DA57}"/>
    <cellStyle name="Moneda 14 2 9 2 2" xfId="13799" xr:uid="{7E68D283-E181-4E15-87D9-7BD7D7463F7D}"/>
    <cellStyle name="Moneda 14 2 9 3" xfId="7642" xr:uid="{359391AC-1A2D-49A5-9456-976466A05A7E}"/>
    <cellStyle name="Moneda 14 2 9 3 2" xfId="15171" xr:uid="{2D630E6A-3FE7-49AC-B0DA-DDCFE7DD5403}"/>
    <cellStyle name="Moneda 14 2 9 4" xfId="10816" xr:uid="{D375F91D-071E-47C2-B5D9-0FF2D3FB4E76}"/>
    <cellStyle name="Moneda 14 3" xfId="1449" xr:uid="{C1156653-865C-4A5E-964C-A5869A1568CB}"/>
    <cellStyle name="Moneda 14 3 10" xfId="2397" xr:uid="{90DC718D-E57C-4DD5-8E14-8E0BDC0CF909}"/>
    <cellStyle name="Moneda 14 3 10 2" xfId="6528" xr:uid="{500C412F-223F-42D2-80BA-11BE47FCBC66}"/>
    <cellStyle name="Moneda 14 3 10 2 2" xfId="14084" xr:uid="{CAC001F1-578A-4F78-B76B-992963B5171F}"/>
    <cellStyle name="Moneda 14 3 10 3" xfId="7927" xr:uid="{56158EB8-5580-4F69-8957-D29925E65F7A}"/>
    <cellStyle name="Moneda 14 3 10 3 2" xfId="15456" xr:uid="{CDDB1897-0AC9-4109-8818-453EFA8B97A9}"/>
    <cellStyle name="Moneda 14 3 10 4" xfId="9985" xr:uid="{666E3E88-BE44-45FC-B32F-445C892E148C}"/>
    <cellStyle name="Moneda 14 3 11" xfId="4409" xr:uid="{49888C92-9EAF-4267-9B65-2893F664A375}"/>
    <cellStyle name="Moneda 14 3 11 2" xfId="11977" xr:uid="{E3B37EEE-ACF6-4A7E-8F77-D189D270C3BA}"/>
    <cellStyle name="Moneda 14 3 12" xfId="5407" xr:uid="{7576F78C-7CFA-42B0-836F-496234886B40}"/>
    <cellStyle name="Moneda 14 3 12 2" xfId="12968" xr:uid="{4694261E-5AF1-4AA4-B8EE-21653A7669E9}"/>
    <cellStyle name="Moneda 14 3 13" xfId="6811" xr:uid="{23DDA282-E24F-4415-82C4-906D8BBCB30F}"/>
    <cellStyle name="Moneda 14 3 13 2" xfId="14340" xr:uid="{DD7277AA-0094-444E-925F-A4DBCE78EF2C}"/>
    <cellStyle name="Moneda 14 3 14" xfId="9057" xr:uid="{C1484521-5266-4B91-A393-6BE780087F00}"/>
    <cellStyle name="Moneda 14 3 2" xfId="2521" xr:uid="{4864FC9E-5678-4C83-953F-62B5361F32AA}"/>
    <cellStyle name="Moneda 14 3 2 2" xfId="6663" xr:uid="{EC3B7570-4690-4E41-94F1-A0310C74A0AF}"/>
    <cellStyle name="Moneda 14 3 2 2 2" xfId="8049" xr:uid="{6B01E94A-DF77-459A-A9BD-AB48A5B1346F}"/>
    <cellStyle name="Moneda 14 3 2 2 2 2" xfId="15578" xr:uid="{3D29FF5C-ABF0-4E7B-878D-1EEF28836A53}"/>
    <cellStyle name="Moneda 14 3 2 2 3" xfId="14206" xr:uid="{DA52EDA6-A3E2-48B4-A3B3-F37B5CE14538}"/>
    <cellStyle name="Moneda 14 3 2 3" xfId="5527" xr:uid="{13C4F334-8926-4701-81BA-C116E49F8C3A}"/>
    <cellStyle name="Moneda 14 3 2 3 2" xfId="13088" xr:uid="{7045731B-9F40-482F-A263-A28F8DFC1778}"/>
    <cellStyle name="Moneda 14 3 2 4" xfId="6931" xr:uid="{0A043E25-55ED-420F-BEE1-2AA88205BF52}"/>
    <cellStyle name="Moneda 14 3 2 4 2" xfId="14460" xr:uid="{DB08F154-340D-4524-8186-5D4E28549689}"/>
    <cellStyle name="Moneda 14 3 2 5" xfId="10105" xr:uid="{8233CB9D-A7FE-4B2C-8FA2-973BC8507D59}"/>
    <cellStyle name="Moneda 14 3 3" xfId="2642" xr:uid="{31E5D8B8-6811-4B07-8E0E-C066F2ECD03A}"/>
    <cellStyle name="Moneda 14 3 3 2" xfId="5647" xr:uid="{BAB18770-A214-4CFF-8075-55C6130F4CA7}"/>
    <cellStyle name="Moneda 14 3 3 2 2" xfId="13208" xr:uid="{5C4C8D02-C262-481E-B8C3-799F4BC3F171}"/>
    <cellStyle name="Moneda 14 3 3 3" xfId="7051" xr:uid="{83139DC0-BA4A-4636-A83B-69184AACD6FE}"/>
    <cellStyle name="Moneda 14 3 3 3 2" xfId="14580" xr:uid="{C094948B-13C8-4E8E-AB5C-4321BBF152FA}"/>
    <cellStyle name="Moneda 14 3 3 4" xfId="10225" xr:uid="{A09B3473-4750-4D4C-BE32-12D9C4BF7519}"/>
    <cellStyle name="Moneda 14 3 4" xfId="2764" xr:uid="{1D8E6DD2-00D1-4471-B442-18B977953ED9}"/>
    <cellStyle name="Moneda 14 3 4 2" xfId="5769" xr:uid="{D19F8C42-D2DA-4B3F-B3BF-F97B857E467C}"/>
    <cellStyle name="Moneda 14 3 4 2 2" xfId="13330" xr:uid="{5DA75CA6-D310-4F8B-A8E3-4A1A2032FD2A}"/>
    <cellStyle name="Moneda 14 3 4 3" xfId="7173" xr:uid="{5D068CEC-EF08-436B-A1A2-31ECEF249E22}"/>
    <cellStyle name="Moneda 14 3 4 3 2" xfId="14702" xr:uid="{B2616239-BAD6-4543-AAB2-88FBDDAC5BBF}"/>
    <cellStyle name="Moneda 14 3 4 4" xfId="10347" xr:uid="{76BAECDA-0051-4F14-B48C-DC972857F9A6}"/>
    <cellStyle name="Moneda 14 3 5" xfId="2889" xr:uid="{9AC196B2-89B6-4E06-9A32-F5D8373E8A98}"/>
    <cellStyle name="Moneda 14 3 5 2" xfId="5893" xr:uid="{C70FD47D-EAE5-48E4-A94D-999DA1DC62A0}"/>
    <cellStyle name="Moneda 14 3 5 2 2" xfId="13454" xr:uid="{87231D78-69F5-4CB6-9332-6FED8D39AFA9}"/>
    <cellStyle name="Moneda 14 3 5 3" xfId="7297" xr:uid="{68AA0D58-0433-42A1-9B1D-D780E9465667}"/>
    <cellStyle name="Moneda 14 3 5 3 2" xfId="14826" xr:uid="{7960D690-57CF-4A04-9861-005B376785B2}"/>
    <cellStyle name="Moneda 14 3 5 4" xfId="10471" xr:uid="{188164DD-B94E-43D6-B7E9-2329E2D92C57}"/>
    <cellStyle name="Moneda 14 3 6" xfId="3013" xr:uid="{BE2DC646-0A49-4BB2-A8EF-F5748239DA7B}"/>
    <cellStyle name="Moneda 14 3 6 2" xfId="6017" xr:uid="{13D5AE07-32FD-4D17-A339-19DD521D3A21}"/>
    <cellStyle name="Moneda 14 3 6 2 2" xfId="13578" xr:uid="{07C3EBE4-543C-4015-BE77-2CD502ECA09E}"/>
    <cellStyle name="Moneda 14 3 6 3" xfId="7421" xr:uid="{FDBC435A-1B38-402B-B79E-1CCF2C64D381}"/>
    <cellStyle name="Moneda 14 3 6 3 2" xfId="14950" xr:uid="{428B84E5-46C3-4B90-9C6E-AFE66142A5A2}"/>
    <cellStyle name="Moneda 14 3 6 4" xfId="10595" xr:uid="{EEC69795-74EB-4FED-B019-C229A0A40091}"/>
    <cellStyle name="Moneda 14 3 7" xfId="3137" xr:uid="{E451D42A-163A-43F4-9105-A094DF41D455}"/>
    <cellStyle name="Moneda 14 3 7 2" xfId="6141" xr:uid="{3E37729C-D523-4F05-9C8B-4E29A0065B80}"/>
    <cellStyle name="Moneda 14 3 7 2 2" xfId="13702" xr:uid="{49D9F2DF-DC6A-489D-88F4-A181ACC376C6}"/>
    <cellStyle name="Moneda 14 3 7 3" xfId="7545" xr:uid="{EFD3E140-070E-4C6B-92F3-DFF8D707DB2B}"/>
    <cellStyle name="Moneda 14 3 7 3 2" xfId="15074" xr:uid="{FBFA58B0-AE78-48D0-9002-197611C5B12A}"/>
    <cellStyle name="Moneda 14 3 7 4" xfId="10719" xr:uid="{95BC4934-2FB4-4AB6-906E-30AFD4DF5B27}"/>
    <cellStyle name="Moneda 14 3 8" xfId="3262" xr:uid="{26C850F9-85F2-4D8A-AE4E-0C0B69B26004}"/>
    <cellStyle name="Moneda 14 3 8 2" xfId="6266" xr:uid="{E129FA07-3F59-4B42-9420-51B2039A5D32}"/>
    <cellStyle name="Moneda 14 3 8 2 2" xfId="13827" xr:uid="{C5A44F89-8159-4E18-B27F-D63B4D70D0B9}"/>
    <cellStyle name="Moneda 14 3 8 3" xfId="7670" xr:uid="{3B434DD1-8665-4A71-97ED-B88959F9EB43}"/>
    <cellStyle name="Moneda 14 3 8 3 2" xfId="15199" xr:uid="{7264C452-3913-4A6F-B1D1-72B2F7939EAA}"/>
    <cellStyle name="Moneda 14 3 8 4" xfId="10844" xr:uid="{501654CC-E440-41EC-A461-42F85F6A3D4E}"/>
    <cellStyle name="Moneda 14 3 9" xfId="3390" xr:uid="{08BF2D39-C7D3-4C4B-909D-D32D2F902B12}"/>
    <cellStyle name="Moneda 14 3 9 2" xfId="6392" xr:uid="{83714E7A-175A-4231-B387-9222489D6B3A}"/>
    <cellStyle name="Moneda 14 3 9 2 2" xfId="13953" xr:uid="{36170FAD-0371-481F-B845-82C5A85DC9B9}"/>
    <cellStyle name="Moneda 14 3 9 3" xfId="7796" xr:uid="{036BE63A-06B4-4137-B9A8-598EA3E703E0}"/>
    <cellStyle name="Moneda 14 3 9 3 2" xfId="15325" xr:uid="{CAA0C969-9805-4450-9D2B-E51447792EBC}"/>
    <cellStyle name="Moneda 14 3 9 4" xfId="10970" xr:uid="{607E338A-6DD1-42B7-9508-E5C1544A659D}"/>
    <cellStyle name="Moneda 14 4" xfId="1828" xr:uid="{54850145-FC23-4039-85A2-60544889F750}"/>
    <cellStyle name="Moneda 14 4 2" xfId="2462" xr:uid="{45D8BE75-373D-45C0-88EE-E6B75BE86764}"/>
    <cellStyle name="Moneda 14 4 2 2" xfId="6605" xr:uid="{C0A91C40-4034-4A25-8663-2A5FD9B5B7E6}"/>
    <cellStyle name="Moneda 14 4 2 2 2" xfId="14148" xr:uid="{83ADAA1A-78AB-4F5D-BD59-868A8D8DE39C}"/>
    <cellStyle name="Moneda 14 4 2 3" xfId="7991" xr:uid="{CE876B3E-5800-48AB-9C76-A6EAF648A6CC}"/>
    <cellStyle name="Moneda 14 4 2 3 2" xfId="15520" xr:uid="{3D54717C-2E00-4B18-9F11-A821B6FE7BC0}"/>
    <cellStyle name="Moneda 14 4 2 4" xfId="10046" xr:uid="{40B9B514-269B-4A53-826A-7F50BBD28091}"/>
    <cellStyle name="Moneda 14 4 3" xfId="4787" xr:uid="{D094A872-B944-4B75-82F2-AF7D60F7C5CB}"/>
    <cellStyle name="Moneda 14 4 3 2" xfId="12355" xr:uid="{EB6A61F6-9062-47E6-8386-6A9A66F9223A}"/>
    <cellStyle name="Moneda 14 4 4" xfId="5468" xr:uid="{C399865D-7E73-4996-9D12-DC22AFFDFE52}"/>
    <cellStyle name="Moneda 14 4 4 2" xfId="13029" xr:uid="{89C9C920-7519-4A50-B6FE-2947019DFC46}"/>
    <cellStyle name="Moneda 14 4 5" xfId="6872" xr:uid="{0D65E606-1853-41A6-918C-EB21F6F51A08}"/>
    <cellStyle name="Moneda 14 4 5 2" xfId="14401" xr:uid="{5DA86920-9402-4292-9F26-E27734E0F676}"/>
    <cellStyle name="Moneda 14 4 6" xfId="9435" xr:uid="{A88F11AF-E9C5-47F7-84BB-FAF47B1D577C}"/>
    <cellStyle name="Moneda 14 5" xfId="2584" xr:uid="{669F755F-5A6A-4065-BDCF-269C043C9007}"/>
    <cellStyle name="Moneda 14 5 2" xfId="5589" xr:uid="{91E803AF-983C-4002-B1A9-B9A25DD7747A}"/>
    <cellStyle name="Moneda 14 5 2 2" xfId="13150" xr:uid="{0E271C7A-BBC7-4ECD-AD18-E673E6B0C19E}"/>
    <cellStyle name="Moneda 14 5 3" xfId="6993" xr:uid="{6B469B23-9274-4100-A4C1-E2BCCC44C27B}"/>
    <cellStyle name="Moneda 14 5 3 2" xfId="14522" xr:uid="{F178BC97-01B5-489D-B284-97C0701303B7}"/>
    <cellStyle name="Moneda 14 5 4" xfId="10167" xr:uid="{29FCEFD2-C7E8-4233-9AAB-C8F179E2930E}"/>
    <cellStyle name="Moneda 14 6" xfId="2706" xr:uid="{ED6C2BBF-61BE-48D1-9F18-A4CB65F721C3}"/>
    <cellStyle name="Moneda 14 6 2" xfId="5711" xr:uid="{F1986596-2326-4F65-8E27-18BB4D8FF5BB}"/>
    <cellStyle name="Moneda 14 6 2 2" xfId="13272" xr:uid="{002CBB0B-0608-43F3-854D-FC49AD2D3A92}"/>
    <cellStyle name="Moneda 14 6 3" xfId="7115" xr:uid="{C63F52AB-1F86-4BE6-B78E-FF0BB03AB077}"/>
    <cellStyle name="Moneda 14 6 3 2" xfId="14644" xr:uid="{6B65D789-96C4-4850-A9E8-55682BFA7DF7}"/>
    <cellStyle name="Moneda 14 6 4" xfId="10289" xr:uid="{B53B47D2-9972-40EE-83DD-37EF58BE4EB0}"/>
    <cellStyle name="Moneda 14 7" xfId="2831" xr:uid="{54C9ED04-4D93-4D7A-A2E7-C7716C59DE4E}"/>
    <cellStyle name="Moneda 14 7 2" xfId="5835" xr:uid="{BE7CDABE-BFE8-4BEA-B968-49E63E212D60}"/>
    <cellStyle name="Moneda 14 7 2 2" xfId="13396" xr:uid="{92892479-7C76-467D-ABE1-3BF454B16557}"/>
    <cellStyle name="Moneda 14 7 3" xfId="7239" xr:uid="{A65FB5D7-929E-4179-857F-9F74A8600373}"/>
    <cellStyle name="Moneda 14 7 3 2" xfId="14768" xr:uid="{00ACABCC-B742-404C-80E4-54CFCB81124D}"/>
    <cellStyle name="Moneda 14 7 4" xfId="10413" xr:uid="{469DA8A4-90A5-46BB-857D-FE683B8BA040}"/>
    <cellStyle name="Moneda 14 8" xfId="2955" xr:uid="{9F954B0F-2FA1-46EB-B729-2978A31EB310}"/>
    <cellStyle name="Moneda 14 8 2" xfId="5959" xr:uid="{55CAC077-DC01-4173-8B46-D13BCE90F645}"/>
    <cellStyle name="Moneda 14 8 2 2" xfId="13520" xr:uid="{3DDE854D-ADCA-47A6-92CB-80D1D985B0CC}"/>
    <cellStyle name="Moneda 14 8 3" xfId="7363" xr:uid="{463DEC47-083C-4F93-8176-CC22E508B242}"/>
    <cellStyle name="Moneda 14 8 3 2" xfId="14892" xr:uid="{3CD21062-BEFB-4CE0-8508-D45BEFC928D5}"/>
    <cellStyle name="Moneda 14 8 4" xfId="10537" xr:uid="{997FBBDD-2A6A-4FEE-9567-8EE4AD3C1756}"/>
    <cellStyle name="Moneda 14 9" xfId="3079" xr:uid="{D137E407-6048-4CD0-873E-5958C7E48B41}"/>
    <cellStyle name="Moneda 14 9 2" xfId="6083" xr:uid="{00291969-CD48-480B-8010-C703D4CE9691}"/>
    <cellStyle name="Moneda 14 9 2 2" xfId="13644" xr:uid="{10D059DC-A208-4579-94B0-7C79A6F52B24}"/>
    <cellStyle name="Moneda 14 9 3" xfId="7487" xr:uid="{E68DA2BC-C07F-48BE-9A8D-E0005B4163F3}"/>
    <cellStyle name="Moneda 14 9 3 2" xfId="15016" xr:uid="{85415B12-B97F-46C0-8EF2-44357F56D57D}"/>
    <cellStyle name="Moneda 14 9 4" xfId="10661" xr:uid="{1052B0A0-1A1B-4469-9ABA-F0443C95384A}"/>
    <cellStyle name="Moneda 140" xfId="605" xr:uid="{6963FF5C-2595-4946-8237-067F571B979B}"/>
    <cellStyle name="Moneda 140 2" xfId="1337" xr:uid="{9F81AC41-FB04-410C-BEB4-3EC53BB97CE0}"/>
    <cellStyle name="Moneda 140 2 2" xfId="4297" xr:uid="{55507E5E-646C-4187-AE1F-ED05B3893C6E}"/>
    <cellStyle name="Moneda 140 2 2 2" xfId="11865" xr:uid="{9347AB6F-A145-4839-B32E-BF8B92D06602}"/>
    <cellStyle name="Moneda 140 2 3" xfId="8945" xr:uid="{57BBF768-1EE4-4E5A-B1D2-35716114B366}"/>
    <cellStyle name="Moneda 140 3" xfId="1701" xr:uid="{DF877043-F497-47B2-90D1-DFF9E4F8C657}"/>
    <cellStyle name="Moneda 140 3 2" xfId="4661" xr:uid="{4223FD14-F3B0-48CF-8C5A-1B3961777AEA}"/>
    <cellStyle name="Moneda 140 3 2 2" xfId="12229" xr:uid="{886FE97C-9988-4501-B271-761739C100BD}"/>
    <cellStyle name="Moneda 140 3 3" xfId="9309" xr:uid="{537BC558-A2F0-44E6-ACCF-E977F5F34F7C}"/>
    <cellStyle name="Moneda 140 4" xfId="2080" xr:uid="{846E59A3-8FD7-47B1-B604-37E0475FCEF5}"/>
    <cellStyle name="Moneda 140 4 2" xfId="5039" xr:uid="{50BCF7A2-550C-4EF6-AC5F-1FA90172982B}"/>
    <cellStyle name="Moneda 140 4 2 2" xfId="12607" xr:uid="{14D348A9-9C78-4FF5-98B7-2F71704FF2C5}"/>
    <cellStyle name="Moneda 140 4 3" xfId="9687" xr:uid="{8FEEB9F0-10CB-4BB6-B5A2-A16336AB0B31}"/>
    <cellStyle name="Moneda 140 5" xfId="3766" xr:uid="{BAF8065E-0D52-4EF7-96D2-F23281246517}"/>
    <cellStyle name="Moneda 140 5 2" xfId="11334" xr:uid="{BF47DF95-EBF3-43D6-8242-F51DF3F3D1E9}"/>
    <cellStyle name="Moneda 140 6" xfId="8414" xr:uid="{96187984-A173-4E93-AAA7-2D04C05943F3}"/>
    <cellStyle name="Moneda 141" xfId="608" xr:uid="{33CB1FEF-1AC6-4C7E-9398-BC3EAFF7F1B8}"/>
    <cellStyle name="Moneda 141 2" xfId="1339" xr:uid="{790D730F-9C58-46EE-A7EE-C1B636233EAD}"/>
    <cellStyle name="Moneda 141 2 2" xfId="4299" xr:uid="{C73E96CB-9881-4C7A-966B-BB3D9C6BE54A}"/>
    <cellStyle name="Moneda 141 2 2 2" xfId="11867" xr:uid="{A546B214-AC6F-4878-A62B-684B3EA97381}"/>
    <cellStyle name="Moneda 141 2 3" xfId="8947" xr:uid="{38604550-6904-41E4-A506-B979739FEAF4}"/>
    <cellStyle name="Moneda 141 3" xfId="1703" xr:uid="{F6BCC241-6CBD-4AE9-AEC0-8BE96F642DCB}"/>
    <cellStyle name="Moneda 141 3 2" xfId="4663" xr:uid="{B18EC629-7561-4BB1-8930-C7BBF93F6170}"/>
    <cellStyle name="Moneda 141 3 2 2" xfId="12231" xr:uid="{B6012CBC-DD95-444D-9D76-BA382070C2A9}"/>
    <cellStyle name="Moneda 141 3 3" xfId="9311" xr:uid="{918BA910-5D58-4885-8E96-524B398C052E}"/>
    <cellStyle name="Moneda 141 4" xfId="2082" xr:uid="{DFC6F1D5-63FB-40F4-80D6-BA1EB39890D2}"/>
    <cellStyle name="Moneda 141 4 2" xfId="5041" xr:uid="{F5B49718-89D1-4B1A-91E6-B546F37D84C1}"/>
    <cellStyle name="Moneda 141 4 2 2" xfId="12609" xr:uid="{D6A56384-6043-439E-A220-6CDFAE354C07}"/>
    <cellStyle name="Moneda 141 4 3" xfId="9689" xr:uid="{2F8732CE-AD77-4031-A66B-CD56741DAEC8}"/>
    <cellStyle name="Moneda 141 5" xfId="3768" xr:uid="{596AB2A4-3AC8-49A3-A30E-7A5C0BAAF82D}"/>
    <cellStyle name="Moneda 141 5 2" xfId="11336" xr:uid="{FDCF6C6B-449A-4D2E-A539-744B089B95D9}"/>
    <cellStyle name="Moneda 141 6" xfId="8416" xr:uid="{B5309CA1-F387-45A5-8BA3-D4BD0D0C17E8}"/>
    <cellStyle name="Moneda 142" xfId="611" xr:uid="{9B26013F-E224-43F6-BE06-9B96B3FCB284}"/>
    <cellStyle name="Moneda 142 2" xfId="1341" xr:uid="{E460B253-E1C9-4B22-A625-6BA00D686A44}"/>
    <cellStyle name="Moneda 142 2 2" xfId="4301" xr:uid="{B36DF369-EBB1-4038-A350-01EB657C7F13}"/>
    <cellStyle name="Moneda 142 2 2 2" xfId="11869" xr:uid="{64563E3D-C227-43A6-A632-2599B0431223}"/>
    <cellStyle name="Moneda 142 2 3" xfId="8949" xr:uid="{0E6DD4BB-1B09-4CBD-A47F-716CE29C125F}"/>
    <cellStyle name="Moneda 142 3" xfId="1705" xr:uid="{3D6846BF-23D9-4E98-80EF-BBF1FEB581FC}"/>
    <cellStyle name="Moneda 142 3 2" xfId="4665" xr:uid="{7CB180CD-8850-4239-8F17-2BDC327BAC98}"/>
    <cellStyle name="Moneda 142 3 2 2" xfId="12233" xr:uid="{A4FD801E-D2FB-46BC-8FA6-A47ED950DB83}"/>
    <cellStyle name="Moneda 142 3 3" xfId="9313" xr:uid="{6452E245-4D3A-4181-8280-A3F1E21F79A3}"/>
    <cellStyle name="Moneda 142 4" xfId="2084" xr:uid="{249C9FE8-8E83-4E92-AC51-284D5DD6D21F}"/>
    <cellStyle name="Moneda 142 4 2" xfId="5043" xr:uid="{AF4D613D-54BA-47AF-89ED-472C33AF3D78}"/>
    <cellStyle name="Moneda 142 4 2 2" xfId="12611" xr:uid="{02F15CD5-2E4F-44B3-8C7A-13CB0E36D35E}"/>
    <cellStyle name="Moneda 142 4 3" xfId="9691" xr:uid="{06CC19E3-1D38-4D16-BF95-2AD29DACBE2F}"/>
    <cellStyle name="Moneda 142 5" xfId="3770" xr:uid="{846138C5-4D8B-4673-B607-CE27B12166CB}"/>
    <cellStyle name="Moneda 142 5 2" xfId="11338" xr:uid="{F9C5ECDD-5011-4D17-9135-81E89AAC3510}"/>
    <cellStyle name="Moneda 142 6" xfId="8418" xr:uid="{8DB4305F-4A3A-475A-B790-FC06A37B775C}"/>
    <cellStyle name="Moneda 143" xfId="614" xr:uid="{F9C3D0DA-9257-49F1-966D-1526BAA5542F}"/>
    <cellStyle name="Moneda 143 2" xfId="1343" xr:uid="{F678F6B6-74B0-4554-BB0B-52D33B8BA41F}"/>
    <cellStyle name="Moneda 143 2 2" xfId="4303" xr:uid="{301579F7-F8F0-4718-A2F4-BB21D5838E14}"/>
    <cellStyle name="Moneda 143 2 2 2" xfId="11871" xr:uid="{F438BC1E-D67A-47A3-AF5F-CB7CE99A7080}"/>
    <cellStyle name="Moneda 143 2 3" xfId="8951" xr:uid="{22486613-95FF-4E64-ABE5-24238BEAF22A}"/>
    <cellStyle name="Moneda 143 3" xfId="1707" xr:uid="{CCC52884-3A5D-48B8-A01F-3389E910D58E}"/>
    <cellStyle name="Moneda 143 3 2" xfId="4667" xr:uid="{23F4D8DA-BCBC-4A5A-A9D6-8855D1F50D10}"/>
    <cellStyle name="Moneda 143 3 2 2" xfId="12235" xr:uid="{F25806EC-1A2D-47EF-99C8-FEEA54B522FA}"/>
    <cellStyle name="Moneda 143 3 3" xfId="9315" xr:uid="{C97282A0-6CB9-4E57-81DA-83307603E22A}"/>
    <cellStyle name="Moneda 143 4" xfId="2086" xr:uid="{15145DCF-E535-4A20-AA8A-3EE4421A9B52}"/>
    <cellStyle name="Moneda 143 4 2" xfId="5045" xr:uid="{285EE814-380C-4855-9E9B-6D08F163D2FD}"/>
    <cellStyle name="Moneda 143 4 2 2" xfId="12613" xr:uid="{70E747AF-E12D-4258-B144-6ED7B6B66C3F}"/>
    <cellStyle name="Moneda 143 4 3" xfId="9693" xr:uid="{05935986-E231-4D88-B0DA-10CBC7C1F0EE}"/>
    <cellStyle name="Moneda 143 5" xfId="3772" xr:uid="{7C742BA7-4B78-430D-B26B-F5E838B3D7CA}"/>
    <cellStyle name="Moneda 143 5 2" xfId="11340" xr:uid="{C78573A6-AB6D-4065-9122-09063D13C81B}"/>
    <cellStyle name="Moneda 143 6" xfId="8420" xr:uid="{8DDD93C2-6C17-49A3-98E1-62A810D359EB}"/>
    <cellStyle name="Moneda 144" xfId="617" xr:uid="{70039AF8-84D2-490E-B3D7-2791A469E392}"/>
    <cellStyle name="Moneda 144 2" xfId="1345" xr:uid="{69BA4FA7-7BB4-4FED-8F45-E3BF33A314A9}"/>
    <cellStyle name="Moneda 144 2 2" xfId="4305" xr:uid="{4DECC9C8-4BF8-48E0-ADCB-290C355223E7}"/>
    <cellStyle name="Moneda 144 2 2 2" xfId="11873" xr:uid="{E3870985-AA1C-4433-BA29-11263465E724}"/>
    <cellStyle name="Moneda 144 2 3" xfId="8953" xr:uid="{E462CFDF-1041-4560-8BBC-ED4A12D4CEB1}"/>
    <cellStyle name="Moneda 144 3" xfId="1709" xr:uid="{5685D623-CDD4-4BBF-92C1-8908A910B26F}"/>
    <cellStyle name="Moneda 144 3 2" xfId="4669" xr:uid="{608CDDB3-78EC-45A3-88F2-A58A33BE9C74}"/>
    <cellStyle name="Moneda 144 3 2 2" xfId="12237" xr:uid="{9735FA63-6448-4AEE-AF6C-BCFDE26C3A7D}"/>
    <cellStyle name="Moneda 144 3 3" xfId="9317" xr:uid="{ACFF3798-64C6-4606-9584-244FDDC2507A}"/>
    <cellStyle name="Moneda 144 4" xfId="2088" xr:uid="{20BF0525-584F-454F-9781-698521860261}"/>
    <cellStyle name="Moneda 144 4 2" xfId="5047" xr:uid="{F96B291C-EC6E-45A0-9861-1B89CA755D61}"/>
    <cellStyle name="Moneda 144 4 2 2" xfId="12615" xr:uid="{1486D26C-256B-4D4E-A264-9C477E4D3B9E}"/>
    <cellStyle name="Moneda 144 4 3" xfId="9695" xr:uid="{6EDF0618-BB55-47CD-B360-910363BA8069}"/>
    <cellStyle name="Moneda 144 5" xfId="3774" xr:uid="{453EAE94-EE56-4733-8218-B69179FC5777}"/>
    <cellStyle name="Moneda 144 5 2" xfId="11342" xr:uid="{5A1932EE-FDBB-4367-9D70-F482BD700BE4}"/>
    <cellStyle name="Moneda 144 6" xfId="8422" xr:uid="{E8D1FA81-3135-4626-B54B-B99CB3E8DF03}"/>
    <cellStyle name="Moneda 145" xfId="620" xr:uid="{B1E8670A-ACE0-482F-950C-81AC39B7DA35}"/>
    <cellStyle name="Moneda 145 2" xfId="1347" xr:uid="{5BA29C82-6A16-42F1-AF05-0ECA3DAB8003}"/>
    <cellStyle name="Moneda 145 2 2" xfId="4307" xr:uid="{25659023-BA41-41E1-BC6B-B7DE45A6F3BD}"/>
    <cellStyle name="Moneda 145 2 2 2" xfId="11875" xr:uid="{EA51CB70-8082-489E-9D58-4498A8172997}"/>
    <cellStyle name="Moneda 145 2 3" xfId="8955" xr:uid="{EA94E759-217E-4ECC-A325-9AB6086155C7}"/>
    <cellStyle name="Moneda 145 3" xfId="1711" xr:uid="{DF37BB40-FEBD-494F-A7CC-2F76597F4ECA}"/>
    <cellStyle name="Moneda 145 3 2" xfId="4671" xr:uid="{25CA2F34-24A4-4D99-9315-79E67A379C31}"/>
    <cellStyle name="Moneda 145 3 2 2" xfId="12239" xr:uid="{EAC99563-4FA0-4045-8031-A268A0C8F6DD}"/>
    <cellStyle name="Moneda 145 3 3" xfId="9319" xr:uid="{CAAAACD1-C84A-4AA7-A0CE-5D55D5860F7A}"/>
    <cellStyle name="Moneda 145 4" xfId="2090" xr:uid="{21455B9F-B37A-400D-853F-9C3BE5CF5BA7}"/>
    <cellStyle name="Moneda 145 4 2" xfId="5049" xr:uid="{1C4B1740-C829-4A15-B505-9840C5ED2B37}"/>
    <cellStyle name="Moneda 145 4 2 2" xfId="12617" xr:uid="{9E6440AA-91C7-4F6F-B497-DDEA0D5CBA77}"/>
    <cellStyle name="Moneda 145 4 3" xfId="9697" xr:uid="{EE632E6B-3095-43AB-BF16-997BF187B4B6}"/>
    <cellStyle name="Moneda 145 5" xfId="3776" xr:uid="{A13CECCC-451B-4DC7-A107-220288D0156C}"/>
    <cellStyle name="Moneda 145 5 2" xfId="11344" xr:uid="{44AE890E-AA3A-459A-8B44-54A882E73338}"/>
    <cellStyle name="Moneda 145 6" xfId="8424" xr:uid="{DD6D0A2A-B4E1-45F5-95C3-941FFDFA83D3}"/>
    <cellStyle name="Moneda 146" xfId="623" xr:uid="{82B531C5-2C42-4A66-B746-53FF05CC319E}"/>
    <cellStyle name="Moneda 146 2" xfId="1349" xr:uid="{A4AF4B14-B57E-4C8F-B028-FD50AB98C192}"/>
    <cellStyle name="Moneda 146 2 2" xfId="4309" xr:uid="{A1BBE507-4C00-4B10-9041-EBD8EEB85778}"/>
    <cellStyle name="Moneda 146 2 2 2" xfId="11877" xr:uid="{9EF35E74-F0AC-4536-9A52-B62798438EF5}"/>
    <cellStyle name="Moneda 146 2 3" xfId="8957" xr:uid="{EDE98812-89E1-40CE-9F0A-EAFF6CB85BB2}"/>
    <cellStyle name="Moneda 146 3" xfId="1713" xr:uid="{D1947AB2-A6AF-48D3-ACD5-8E776FFF1AC2}"/>
    <cellStyle name="Moneda 146 3 2" xfId="4673" xr:uid="{32B973CB-B7C7-4002-8DFD-1C6DCE9B8D51}"/>
    <cellStyle name="Moneda 146 3 2 2" xfId="12241" xr:uid="{2F1368FB-F310-4EAA-BFBF-BD920BBB3026}"/>
    <cellStyle name="Moneda 146 3 3" xfId="9321" xr:uid="{B32215D5-C074-46E9-ADF9-C2BED8190602}"/>
    <cellStyle name="Moneda 146 4" xfId="2092" xr:uid="{95D05386-073E-4AAA-B594-E381C2D023B0}"/>
    <cellStyle name="Moneda 146 4 2" xfId="5051" xr:uid="{78A1701B-5CE8-43A0-A9FE-A5F8458A03A3}"/>
    <cellStyle name="Moneda 146 4 2 2" xfId="12619" xr:uid="{9AB35494-B1A9-4904-8AD5-B724B1E4D73C}"/>
    <cellStyle name="Moneda 146 4 3" xfId="9699" xr:uid="{A541D143-D1E6-4829-BC86-25CFC1794AEE}"/>
    <cellStyle name="Moneda 146 5" xfId="3778" xr:uid="{5B2C3D0E-4E1A-4E92-8D31-9A737BC1C6F1}"/>
    <cellStyle name="Moneda 146 5 2" xfId="11346" xr:uid="{79E5265D-0A4C-4190-A128-AD0B58D5C546}"/>
    <cellStyle name="Moneda 146 6" xfId="8426" xr:uid="{073F7FFA-9BA3-4DA3-9784-8AA119BA7650}"/>
    <cellStyle name="Moneda 147" xfId="626" xr:uid="{772A0FE1-A3E8-4EF3-BF80-C7F84162F51F}"/>
    <cellStyle name="Moneda 147 2" xfId="1351" xr:uid="{9B0DB892-F77B-47CB-9062-7A5B9A4C0A83}"/>
    <cellStyle name="Moneda 147 2 2" xfId="4311" xr:uid="{0DED5407-7D72-41D2-8C66-22A4CA4B10EC}"/>
    <cellStyle name="Moneda 147 2 2 2" xfId="11879" xr:uid="{C2476967-025E-4777-A05C-A020119D3D1F}"/>
    <cellStyle name="Moneda 147 2 3" xfId="8959" xr:uid="{85B29764-FBCC-4556-B1CD-3AD8B8B23131}"/>
    <cellStyle name="Moneda 147 3" xfId="1715" xr:uid="{1E0E2372-1B37-46D5-9E0E-3C758A256444}"/>
    <cellStyle name="Moneda 147 3 2" xfId="4675" xr:uid="{C1DA6EB9-7C9C-4A8A-846F-E56183812BCE}"/>
    <cellStyle name="Moneda 147 3 2 2" xfId="12243" xr:uid="{20C64F40-5FA9-4FC3-BB89-6CECCE70452F}"/>
    <cellStyle name="Moneda 147 3 3" xfId="9323" xr:uid="{DC01D119-D47F-4889-9BD0-35F2E00D8A2C}"/>
    <cellStyle name="Moneda 147 4" xfId="2094" xr:uid="{08A0C720-D566-4B1A-B330-F7B9CE837329}"/>
    <cellStyle name="Moneda 147 4 2" xfId="5053" xr:uid="{51196D58-BADC-4070-8B0A-DF2D244D95D3}"/>
    <cellStyle name="Moneda 147 4 2 2" xfId="12621" xr:uid="{A6E2E216-4C65-4B5E-8848-2E6B21F1130B}"/>
    <cellStyle name="Moneda 147 4 3" xfId="9701" xr:uid="{0811F6BF-B9CC-49A4-8DDF-BD55B8825BE3}"/>
    <cellStyle name="Moneda 147 5" xfId="3780" xr:uid="{AA45D1CC-5D89-41AC-BE2E-D38CD8D6E1DC}"/>
    <cellStyle name="Moneda 147 5 2" xfId="11348" xr:uid="{53F02EFF-AC65-441C-B54C-D8B91873EA4A}"/>
    <cellStyle name="Moneda 147 6" xfId="8428" xr:uid="{7B5F3210-B5BB-4414-B74A-28581765A6A8}"/>
    <cellStyle name="Moneda 148" xfId="629" xr:uid="{27503413-D122-433C-8B68-A899BCE5835F}"/>
    <cellStyle name="Moneda 148 2" xfId="1353" xr:uid="{8AF7FA18-CCA4-42FC-80E5-1670846D382B}"/>
    <cellStyle name="Moneda 148 2 2" xfId="4313" xr:uid="{8FEA1D7D-E81A-4FF0-8F20-7D37FD016FCD}"/>
    <cellStyle name="Moneda 148 2 2 2" xfId="11881" xr:uid="{989B406C-5474-4C28-B173-7DAD67F18B05}"/>
    <cellStyle name="Moneda 148 2 3" xfId="8961" xr:uid="{3FE2DDF9-7D91-4441-A4E1-3FD8B39285FE}"/>
    <cellStyle name="Moneda 148 3" xfId="1717" xr:uid="{D1D39414-90A7-4B8C-8055-12380182D2EC}"/>
    <cellStyle name="Moneda 148 3 2" xfId="4677" xr:uid="{EB11A48D-3A28-4A2B-BA90-6DF900FDC120}"/>
    <cellStyle name="Moneda 148 3 2 2" xfId="12245" xr:uid="{1532D754-67D0-4592-950C-8E41C657FC68}"/>
    <cellStyle name="Moneda 148 3 3" xfId="9325" xr:uid="{D2603F17-BE33-465B-A33C-4ECB67C8D8DA}"/>
    <cellStyle name="Moneda 148 4" xfId="2096" xr:uid="{0BF2C8EB-8613-41B3-8EF9-4D62A030786B}"/>
    <cellStyle name="Moneda 148 4 2" xfId="5055" xr:uid="{E4ACAD2F-4BBC-471B-826C-F5F65BA5A6D4}"/>
    <cellStyle name="Moneda 148 4 2 2" xfId="12623" xr:uid="{F7E0AD6D-DEF2-4DA3-A57C-FB1BC0E90B5C}"/>
    <cellStyle name="Moneda 148 4 3" xfId="9703" xr:uid="{D022FCF5-DCAA-4ED4-86AA-CAD3DCB1C052}"/>
    <cellStyle name="Moneda 148 5" xfId="3782" xr:uid="{126306CB-FAF2-4470-B246-2B83C794FE2B}"/>
    <cellStyle name="Moneda 148 5 2" xfId="11350" xr:uid="{842FB1ED-8BEE-4B8E-8A55-F09706491882}"/>
    <cellStyle name="Moneda 148 6" xfId="8430" xr:uid="{CFB19CBB-99BD-47F0-BA8E-021E2679D132}"/>
    <cellStyle name="Moneda 149" xfId="632" xr:uid="{9FE93AFF-7C7B-444D-A911-ACA0E4A10227}"/>
    <cellStyle name="Moneda 149 2" xfId="1355" xr:uid="{4FB28085-3304-4B38-A9EF-6D618447543F}"/>
    <cellStyle name="Moneda 149 2 2" xfId="4315" xr:uid="{D6D06C8E-BFD5-4D0D-AF63-4F17412C0D5A}"/>
    <cellStyle name="Moneda 149 2 2 2" xfId="11883" xr:uid="{C848F850-35B9-4849-9AA5-D832D59DB705}"/>
    <cellStyle name="Moneda 149 2 3" xfId="8963" xr:uid="{FFD73C6B-13F4-41CB-9FCD-6683EF70F8B5}"/>
    <cellStyle name="Moneda 149 3" xfId="1719" xr:uid="{1B64FC21-44DE-4DCC-8B62-0B90BFCE5CFD}"/>
    <cellStyle name="Moneda 149 3 2" xfId="4679" xr:uid="{B5CC1BDC-8FF3-4A8E-B2E9-89A8E935FAAF}"/>
    <cellStyle name="Moneda 149 3 2 2" xfId="12247" xr:uid="{2F5C41AE-FB4D-4567-9949-8D3AC1C663E3}"/>
    <cellStyle name="Moneda 149 3 3" xfId="9327" xr:uid="{E9C9DEEF-1A22-45B0-B39F-D9C35D088A52}"/>
    <cellStyle name="Moneda 149 4" xfId="2098" xr:uid="{07692595-A0BB-4B09-9AE6-2E2AE3A67F0E}"/>
    <cellStyle name="Moneda 149 4 2" xfId="5057" xr:uid="{467DEE29-E580-40F7-AED2-785ED39B38B7}"/>
    <cellStyle name="Moneda 149 4 2 2" xfId="12625" xr:uid="{6707DCE0-3726-4100-9E94-FFFE15055C8D}"/>
    <cellStyle name="Moneda 149 4 3" xfId="9705" xr:uid="{7260518F-8D05-4553-B675-3409FA16C6B1}"/>
    <cellStyle name="Moneda 149 5" xfId="3784" xr:uid="{255430FD-8F2A-4BBD-8881-218FB3D4D177}"/>
    <cellStyle name="Moneda 149 5 2" xfId="11352" xr:uid="{3485C193-9437-4051-9229-01878FEB0F70}"/>
    <cellStyle name="Moneda 149 6" xfId="8432" xr:uid="{1F707973-CCA9-4AA1-B55E-704AE59BFDE9}"/>
    <cellStyle name="Moneda 15" xfId="80" xr:uid="{00000000-0005-0000-0000-000054000000}"/>
    <cellStyle name="Moneda 15 10" xfId="3205" xr:uid="{9D38876B-8393-4320-B178-1C5CCF368B61}"/>
    <cellStyle name="Moneda 15 10 2" xfId="6209" xr:uid="{BE627F94-E00E-4E45-A78E-1AFA8871A5D9}"/>
    <cellStyle name="Moneda 15 10 2 2" xfId="13770" xr:uid="{1B569A63-4B35-4DD7-BA67-B8F962F23B6E}"/>
    <cellStyle name="Moneda 15 10 3" xfId="7613" xr:uid="{2EA0CDFE-1CCA-4A16-BA33-BE3EDFCC9CE4}"/>
    <cellStyle name="Moneda 15 10 3 2" xfId="15142" xr:uid="{F4B08F2A-D34D-48BB-8967-6A85BCFBF643}"/>
    <cellStyle name="Moneda 15 10 4" xfId="10787" xr:uid="{B8B60244-EA5A-4B64-9CF2-84CE4D639B7E}"/>
    <cellStyle name="Moneda 15 11" xfId="3333" xr:uid="{9DF68794-3839-4974-BFA1-9B2F859B3AF2}"/>
    <cellStyle name="Moneda 15 11 2" xfId="6335" xr:uid="{4BE778E5-0ABC-406B-8900-63973C4A839C}"/>
    <cellStyle name="Moneda 15 11 2 2" xfId="13896" xr:uid="{20E72866-0D88-432D-93E3-18C681166DB1}"/>
    <cellStyle name="Moneda 15 11 3" xfId="7739" xr:uid="{9B268FE8-58EB-493E-BB07-B51294175AAB}"/>
    <cellStyle name="Moneda 15 11 3 2" xfId="15268" xr:uid="{8AB1398C-4D76-46A0-AC3A-D30D1294DDA5}"/>
    <cellStyle name="Moneda 15 11 4" xfId="10913" xr:uid="{633E263A-1903-482D-AD5B-902AC4360DFD}"/>
    <cellStyle name="Moneda 15 12" xfId="2331" xr:uid="{596361A2-1CCB-40B4-AD03-E1FB4B1ADBFA}"/>
    <cellStyle name="Moneda 15 12 2" xfId="6471" xr:uid="{247D3755-C121-4682-B439-A7BC497705EB}"/>
    <cellStyle name="Moneda 15 12 2 2" xfId="14027" xr:uid="{35702B57-4123-44A6-9F5D-05D918036A52}"/>
    <cellStyle name="Moneda 15 12 3" xfId="7870" xr:uid="{E3726A71-2D90-49B9-9B4C-AE10E5A77EE7}"/>
    <cellStyle name="Moneda 15 12 3 2" xfId="15399" xr:uid="{37EBAB32-CDEB-409A-8616-1F98ADE659D1}"/>
    <cellStyle name="Moneda 15 12 4" xfId="9928" xr:uid="{FED5A198-F75D-4E28-A824-36B46B560ACD}"/>
    <cellStyle name="Moneda 15 13" xfId="3516" xr:uid="{33FCA4B1-94B8-4F8C-B15D-E3D390CCEE69}"/>
    <cellStyle name="Moneda 15 13 2" xfId="11084" xr:uid="{3D056346-B311-461A-85CE-52378B465CE3}"/>
    <cellStyle name="Moneda 15 14" xfId="5350" xr:uid="{041B3495-2D97-4923-B871-31263D0D41B1}"/>
    <cellStyle name="Moneda 15 14 2" xfId="12911" xr:uid="{B3F7A44B-6B58-4F2F-81CB-A6B0A0EF4706}"/>
    <cellStyle name="Moneda 15 15" xfId="6754" xr:uid="{101A3F8C-D359-4E60-9CD2-D96466087769}"/>
    <cellStyle name="Moneda 15 15 2" xfId="14283" xr:uid="{A25160F3-977F-4CD7-9044-9F071C5A61BF}"/>
    <cellStyle name="Moneda 15 16" xfId="8164" xr:uid="{31562D00-BC01-43BA-8E6E-32EA6E2F6CF2}"/>
    <cellStyle name="Moneda 15 17" xfId="229" xr:uid="{034ED1CF-9911-4F82-B6B9-8D1FE7376F1C}"/>
    <cellStyle name="Moneda 15 2" xfId="1087" xr:uid="{F42EFD5E-0F02-4BE5-B799-5F7202696AD6}"/>
    <cellStyle name="Moneda 15 2 10" xfId="3363" xr:uid="{6728D7B9-F0B6-452A-9813-59BBC531D153}"/>
    <cellStyle name="Moneda 15 2 10 2" xfId="6365" xr:uid="{A8121C22-E916-4890-9018-B35D7D2349FD}"/>
    <cellStyle name="Moneda 15 2 10 2 2" xfId="13926" xr:uid="{AA525D73-A300-4479-92EB-A7026F36F5C1}"/>
    <cellStyle name="Moneda 15 2 10 3" xfId="7769" xr:uid="{8DDBBAC4-142B-44F1-B25E-351703FA1121}"/>
    <cellStyle name="Moneda 15 2 10 3 2" xfId="15298" xr:uid="{FB0562EC-E5AB-4AD7-BBB8-065A77453BC2}"/>
    <cellStyle name="Moneda 15 2 10 4" xfId="10943" xr:uid="{7963F62A-EFEF-47C0-BEA0-0D2586218737}"/>
    <cellStyle name="Moneda 15 2 11" xfId="2368" xr:uid="{B73E5174-0998-4CB2-BCE1-2EA762E33C04}"/>
    <cellStyle name="Moneda 15 2 11 2" xfId="6501" xr:uid="{D171707A-914F-494C-8950-883AC4F932AC}"/>
    <cellStyle name="Moneda 15 2 11 2 2" xfId="14057" xr:uid="{E19E7113-98A1-4CEE-947E-7200ADD90ABA}"/>
    <cellStyle name="Moneda 15 2 11 3" xfId="7900" xr:uid="{E995DEA7-89D7-4E6F-A2C2-CF6F64B61BAD}"/>
    <cellStyle name="Moneda 15 2 11 3 2" xfId="15429" xr:uid="{5D826DA0-2EE0-4673-9B11-1F1BB4EFCDD2}"/>
    <cellStyle name="Moneda 15 2 11 4" xfId="9958" xr:uid="{64971256-D562-4F4E-851D-4D8F6F81A3C8}"/>
    <cellStyle name="Moneda 15 2 12" xfId="4047" xr:uid="{5DA4E32D-DA95-433F-8E52-CB5430BBC1E6}"/>
    <cellStyle name="Moneda 15 2 12 2" xfId="11615" xr:uid="{AB49BEDA-8E73-4C0E-BD85-C6D35D256957}"/>
    <cellStyle name="Moneda 15 2 13" xfId="5380" xr:uid="{FA22AA03-BDD6-4A05-82A2-226C7AFC7C7D}"/>
    <cellStyle name="Moneda 15 2 13 2" xfId="12941" xr:uid="{662B52D3-9B02-45AB-9FE4-5CB73E313878}"/>
    <cellStyle name="Moneda 15 2 14" xfId="6784" xr:uid="{5E9B8C7F-BCD5-43D5-8697-B95117053C85}"/>
    <cellStyle name="Moneda 15 2 14 2" xfId="14313" xr:uid="{DCC7B8A6-D619-488C-94DA-9E9EE0B608C5}"/>
    <cellStyle name="Moneda 15 2 15" xfId="8695" xr:uid="{FA8CBFBA-AF61-4730-802B-43233A6E0134}"/>
    <cellStyle name="Moneda 15 2 2" xfId="2428" xr:uid="{85551523-39D1-47F1-8F80-FCCBA77D8A5B}"/>
    <cellStyle name="Moneda 15 2 2 10" xfId="6559" xr:uid="{A5800FA2-6484-4D01-ACE3-2905F57CCE26}"/>
    <cellStyle name="Moneda 15 2 2 10 2" xfId="7958" xr:uid="{F1693509-F25E-4BCA-A6BE-8E57BF6FBD27}"/>
    <cellStyle name="Moneda 15 2 2 10 2 2" xfId="15487" xr:uid="{D05258A6-D2D0-4ADF-B20E-51253EDC3FF6}"/>
    <cellStyle name="Moneda 15 2 2 10 3" xfId="14115" xr:uid="{732579FB-823A-4A35-B0A5-A1DB3E0AF4F3}"/>
    <cellStyle name="Moneda 15 2 2 11" xfId="5438" xr:uid="{DBBCD3CF-76C9-4C5A-83D4-EC5BEBECDBE2}"/>
    <cellStyle name="Moneda 15 2 2 11 2" xfId="12999" xr:uid="{C197BA65-C64C-459E-B155-66414E9E59BD}"/>
    <cellStyle name="Moneda 15 2 2 12" xfId="6842" xr:uid="{F822F0A7-996D-4F02-8ABB-C757DA97301B}"/>
    <cellStyle name="Moneda 15 2 2 12 2" xfId="14371" xr:uid="{EB01F655-8E4E-479F-959D-5A75380FF6F4}"/>
    <cellStyle name="Moneda 15 2 2 13" xfId="10016" xr:uid="{5C41D3B6-AB64-4C8D-912B-E515045751DE}"/>
    <cellStyle name="Moneda 15 2 2 2" xfId="2552" xr:uid="{AEB907D9-80D8-49F8-9E08-5D7EDC54F227}"/>
    <cellStyle name="Moneda 15 2 2 2 2" xfId="6694" xr:uid="{78FDCED1-7DD1-4AA7-BC37-F274AC36A12B}"/>
    <cellStyle name="Moneda 15 2 2 2 2 2" xfId="8080" xr:uid="{0338C18C-0BAC-4826-B639-9EFD570FBA0F}"/>
    <cellStyle name="Moneda 15 2 2 2 2 2 2" xfId="15609" xr:uid="{D096EA66-A11E-45C4-8C16-FFF638828A5E}"/>
    <cellStyle name="Moneda 15 2 2 2 2 3" xfId="14237" xr:uid="{3C5D15B6-0194-4D13-92A8-598C8B94C711}"/>
    <cellStyle name="Moneda 15 2 2 2 3" xfId="5558" xr:uid="{EF001F80-38AD-4E50-BA65-87B863D4A3F9}"/>
    <cellStyle name="Moneda 15 2 2 2 3 2" xfId="13119" xr:uid="{88B076CD-D4B2-4290-8769-AA762A0F3C9D}"/>
    <cellStyle name="Moneda 15 2 2 2 4" xfId="6962" xr:uid="{CB24E1C1-7CEE-4A4C-B6B9-F32830F859F4}"/>
    <cellStyle name="Moneda 15 2 2 2 4 2" xfId="14491" xr:uid="{0BDD1177-7156-496F-BAE9-15CB266DDDCE}"/>
    <cellStyle name="Moneda 15 2 2 2 5" xfId="10136" xr:uid="{44414F62-EF3A-48D8-83E8-6BD31D9A1717}"/>
    <cellStyle name="Moneda 15 2 2 3" xfId="2673" xr:uid="{4D7C6D27-D306-4441-A672-7938BD11706D}"/>
    <cellStyle name="Moneda 15 2 2 3 2" xfId="5678" xr:uid="{66D95B97-7C6E-4D2C-B4A9-48B16216DF5C}"/>
    <cellStyle name="Moneda 15 2 2 3 2 2" xfId="13239" xr:uid="{3FD2A2AD-9760-496E-83BA-E5DA4FAF67D1}"/>
    <cellStyle name="Moneda 15 2 2 3 3" xfId="7082" xr:uid="{24C3E7AC-0903-43CD-8E88-C7F24579B349}"/>
    <cellStyle name="Moneda 15 2 2 3 3 2" xfId="14611" xr:uid="{751430C1-CE24-4AF6-986E-6CECE077BA4F}"/>
    <cellStyle name="Moneda 15 2 2 3 4" xfId="10256" xr:uid="{8EC6B805-7795-489C-8AE3-0CE173F87BC8}"/>
    <cellStyle name="Moneda 15 2 2 4" xfId="2795" xr:uid="{4C62920E-2405-44EF-A108-B36C74DE9E98}"/>
    <cellStyle name="Moneda 15 2 2 4 2" xfId="5800" xr:uid="{EFBFDAB2-FA61-4F09-8166-B97C7F8C0C24}"/>
    <cellStyle name="Moneda 15 2 2 4 2 2" xfId="13361" xr:uid="{496263CC-DAB0-4C24-84A0-B1CCCC11705A}"/>
    <cellStyle name="Moneda 15 2 2 4 3" xfId="7204" xr:uid="{99F977A6-8F6F-445B-8F3F-1AB699B997B1}"/>
    <cellStyle name="Moneda 15 2 2 4 3 2" xfId="14733" xr:uid="{9508095B-934D-4266-901E-8F27F909E449}"/>
    <cellStyle name="Moneda 15 2 2 4 4" xfId="10378" xr:uid="{49F23D5A-AB05-47BE-9037-F58C34A701AE}"/>
    <cellStyle name="Moneda 15 2 2 5" xfId="2920" xr:uid="{09B0759D-0006-4A6B-BBE0-0F33CDACF2F7}"/>
    <cellStyle name="Moneda 15 2 2 5 2" xfId="5924" xr:uid="{8C9B8A5A-E5F7-4836-9110-9F453602EE87}"/>
    <cellStyle name="Moneda 15 2 2 5 2 2" xfId="13485" xr:uid="{79790D9D-762B-4D66-AA1E-59A64CBB6C06}"/>
    <cellStyle name="Moneda 15 2 2 5 3" xfId="7328" xr:uid="{AC147A0D-1224-49F9-AF71-1C7E6F7786F5}"/>
    <cellStyle name="Moneda 15 2 2 5 3 2" xfId="14857" xr:uid="{28BB1E00-6C7E-4C1C-8D69-9ADDAF1208B6}"/>
    <cellStyle name="Moneda 15 2 2 5 4" xfId="10502" xr:uid="{52882926-1BEF-4DE4-AA6E-477E082F1C04}"/>
    <cellStyle name="Moneda 15 2 2 6" xfId="3044" xr:uid="{E2E1A86D-062B-4C71-81CD-48AEB73AED09}"/>
    <cellStyle name="Moneda 15 2 2 6 2" xfId="6048" xr:uid="{43101910-18A8-4D43-ACF7-6750841B56B1}"/>
    <cellStyle name="Moneda 15 2 2 6 2 2" xfId="13609" xr:uid="{831A61C4-11BE-45A6-9C20-6068877DA15A}"/>
    <cellStyle name="Moneda 15 2 2 6 3" xfId="7452" xr:uid="{3EA83E87-C07C-48C3-AD1A-20B8AF2B75FE}"/>
    <cellStyle name="Moneda 15 2 2 6 3 2" xfId="14981" xr:uid="{C41AB256-523A-40FC-94DC-FCBC22E757F3}"/>
    <cellStyle name="Moneda 15 2 2 6 4" xfId="10626" xr:uid="{822D7456-762A-4D9C-B195-068ADFC7D50D}"/>
    <cellStyle name="Moneda 15 2 2 7" xfId="3168" xr:uid="{ABA503EA-BB8B-4B71-AE5A-9124FA71D051}"/>
    <cellStyle name="Moneda 15 2 2 7 2" xfId="6172" xr:uid="{C6C4C731-A02D-4224-9876-2646A47D63B3}"/>
    <cellStyle name="Moneda 15 2 2 7 2 2" xfId="13733" xr:uid="{970AD05F-B4B6-42EF-8F28-1BA975701329}"/>
    <cellStyle name="Moneda 15 2 2 7 3" xfId="7576" xr:uid="{3649BF03-1DB2-48EF-B5F7-91D5E1EE37D8}"/>
    <cellStyle name="Moneda 15 2 2 7 3 2" xfId="15105" xr:uid="{8A151831-ECF4-4192-86E5-9CC94A660F0E}"/>
    <cellStyle name="Moneda 15 2 2 7 4" xfId="10750" xr:uid="{44F0E94C-DA62-434F-ABCB-9D8C8D439D2E}"/>
    <cellStyle name="Moneda 15 2 2 8" xfId="3293" xr:uid="{D2792220-0F7B-4861-A847-AB1287BC8E7A}"/>
    <cellStyle name="Moneda 15 2 2 8 2" xfId="6297" xr:uid="{289F400D-C1CB-421B-B3F5-5769B69D0DFF}"/>
    <cellStyle name="Moneda 15 2 2 8 2 2" xfId="13858" xr:uid="{40090302-2F97-425D-8B71-34969C056409}"/>
    <cellStyle name="Moneda 15 2 2 8 3" xfId="7701" xr:uid="{9AAFBB89-9651-465B-AE18-81B783C971E7}"/>
    <cellStyle name="Moneda 15 2 2 8 3 2" xfId="15230" xr:uid="{25B6CE9B-6FB7-46A1-B8F3-D74307B36424}"/>
    <cellStyle name="Moneda 15 2 2 8 4" xfId="10875" xr:uid="{A44DFB9E-1C37-43BA-BC86-17BEEEEBA0B3}"/>
    <cellStyle name="Moneda 15 2 2 9" xfId="3421" xr:uid="{8D844555-2C6F-4117-A670-1825F3E15CA1}"/>
    <cellStyle name="Moneda 15 2 2 9 2" xfId="6423" xr:uid="{6CD3A35A-7FEF-4BE1-B953-E4DE61BFF1F8}"/>
    <cellStyle name="Moneda 15 2 2 9 2 2" xfId="13984" xr:uid="{5ACEB1C4-E790-4F49-9B41-66E107B6AD1C}"/>
    <cellStyle name="Moneda 15 2 2 9 3" xfId="7827" xr:uid="{06AAE1A1-2CD4-4C0A-B4B8-8597771407DA}"/>
    <cellStyle name="Moneda 15 2 2 9 3 2" xfId="15356" xr:uid="{F7FC0CE7-C5BB-4428-A477-0A7BBFE43113}"/>
    <cellStyle name="Moneda 15 2 2 9 4" xfId="11001" xr:uid="{15AC8BE0-6D7C-43BF-ADE7-F74811471B7A}"/>
    <cellStyle name="Moneda 15 2 3" xfId="2494" xr:uid="{477690FC-ECFF-4347-93E0-200B334E6E08}"/>
    <cellStyle name="Moneda 15 2 3 2" xfId="6636" xr:uid="{BCE0DB41-D07D-4B11-BD98-1FD48412E8C9}"/>
    <cellStyle name="Moneda 15 2 3 2 2" xfId="8022" xr:uid="{87F60155-7F18-4CEB-911F-F8C9F49A812D}"/>
    <cellStyle name="Moneda 15 2 3 2 2 2" xfId="15551" xr:uid="{643DDC91-7BE9-4CE4-802B-A48E1CFF3E07}"/>
    <cellStyle name="Moneda 15 2 3 2 3" xfId="14179" xr:uid="{4E76A9E9-5A25-47D7-A500-BA214595A809}"/>
    <cellStyle name="Moneda 15 2 3 3" xfId="5500" xr:uid="{53E77648-F754-4F6F-93CF-B3B65C19F3CC}"/>
    <cellStyle name="Moneda 15 2 3 3 2" xfId="13061" xr:uid="{FBD2F582-C31E-400A-9C2E-1AE25708F0F8}"/>
    <cellStyle name="Moneda 15 2 3 4" xfId="6904" xr:uid="{231B49BD-2419-405F-A6F4-8930F0A2D0F6}"/>
    <cellStyle name="Moneda 15 2 3 4 2" xfId="14433" xr:uid="{F98A83BC-3938-4567-ACE3-710825728689}"/>
    <cellStyle name="Moneda 15 2 3 5" xfId="10078" xr:uid="{79F93901-E5EE-4DB7-92DD-B41AACE7C42B}"/>
    <cellStyle name="Moneda 15 2 4" xfId="2615" xr:uid="{4D94EBA6-CA9B-4DE3-963B-9D1572B7493E}"/>
    <cellStyle name="Moneda 15 2 4 2" xfId="5620" xr:uid="{09CF3E3C-7372-4452-902F-537B0A556117}"/>
    <cellStyle name="Moneda 15 2 4 2 2" xfId="13181" xr:uid="{E9A26059-1CA1-43D8-A5E3-289AC9778DDB}"/>
    <cellStyle name="Moneda 15 2 4 3" xfId="7024" xr:uid="{1D127A00-7C45-446A-B8B0-B9AFA39886C7}"/>
    <cellStyle name="Moneda 15 2 4 3 2" xfId="14553" xr:uid="{CA03F717-F7B4-4CDC-B691-E5D39D25C4E5}"/>
    <cellStyle name="Moneda 15 2 4 4" xfId="10198" xr:uid="{94B8061F-0857-4D70-82D3-DDB7DCEFDE3C}"/>
    <cellStyle name="Moneda 15 2 5" xfId="2737" xr:uid="{4462100E-3DA1-4FD7-80E8-2DFC7DB070DD}"/>
    <cellStyle name="Moneda 15 2 5 2" xfId="5742" xr:uid="{9B2F74E3-A0C9-4471-B4C9-35DA0045A135}"/>
    <cellStyle name="Moneda 15 2 5 2 2" xfId="13303" xr:uid="{3A8D4EA3-C0B3-4A1A-96DE-840130B11348}"/>
    <cellStyle name="Moneda 15 2 5 3" xfId="7146" xr:uid="{19E5EB73-D912-4782-A0EF-78C5F6141F6B}"/>
    <cellStyle name="Moneda 15 2 5 3 2" xfId="14675" xr:uid="{E2CC9231-19F3-4893-8983-D1A543B0BE76}"/>
    <cellStyle name="Moneda 15 2 5 4" xfId="10320" xr:uid="{8F0BC87E-F59D-4D64-A364-E970409C232A}"/>
    <cellStyle name="Moneda 15 2 6" xfId="2862" xr:uid="{E54CE2E7-CEAA-4F21-AC3F-BBE55B228A4E}"/>
    <cellStyle name="Moneda 15 2 6 2" xfId="5866" xr:uid="{E75E87FD-6E68-43D6-AA9D-5C39DF320D46}"/>
    <cellStyle name="Moneda 15 2 6 2 2" xfId="13427" xr:uid="{CF3E8756-A6F2-481A-AC81-FE1FB775C51A}"/>
    <cellStyle name="Moneda 15 2 6 3" xfId="7270" xr:uid="{07B7D17D-906D-421C-8A11-F51A91506837}"/>
    <cellStyle name="Moneda 15 2 6 3 2" xfId="14799" xr:uid="{37F18280-234B-4FAB-A76E-06560F0FE604}"/>
    <cellStyle name="Moneda 15 2 6 4" xfId="10444" xr:uid="{447A25FD-55F3-43A7-ABFC-C9933B2A55BD}"/>
    <cellStyle name="Moneda 15 2 7" xfId="2986" xr:uid="{C57C62A0-71AF-4629-B25D-DEA40149C8DA}"/>
    <cellStyle name="Moneda 15 2 7 2" xfId="5990" xr:uid="{5F7D498E-3387-4977-80CA-A403EA44C974}"/>
    <cellStyle name="Moneda 15 2 7 2 2" xfId="13551" xr:uid="{705C0610-67D4-4728-A9EE-8DF62EFDBA13}"/>
    <cellStyle name="Moneda 15 2 7 3" xfId="7394" xr:uid="{95121423-1891-46AA-82DB-EE2BC6A51270}"/>
    <cellStyle name="Moneda 15 2 7 3 2" xfId="14923" xr:uid="{264EEF67-CF97-4478-8844-82AF3DB32B8F}"/>
    <cellStyle name="Moneda 15 2 7 4" xfId="10568" xr:uid="{B3737423-5BED-4915-83C9-6463B0E53A19}"/>
    <cellStyle name="Moneda 15 2 8" xfId="3110" xr:uid="{29789843-F0E3-4347-9CB9-A38CE7186C60}"/>
    <cellStyle name="Moneda 15 2 8 2" xfId="6114" xr:uid="{4FB4A5AF-6B50-49A9-8350-98CD8E85736E}"/>
    <cellStyle name="Moneda 15 2 8 2 2" xfId="13675" xr:uid="{431F0285-2737-44FB-BCC9-00E3069AB546}"/>
    <cellStyle name="Moneda 15 2 8 3" xfId="7518" xr:uid="{EE34DECB-6DCC-4EFE-BE11-E04386608E42}"/>
    <cellStyle name="Moneda 15 2 8 3 2" xfId="15047" xr:uid="{799681F1-3E15-4027-97E6-3F07611BB14E}"/>
    <cellStyle name="Moneda 15 2 8 4" xfId="10692" xr:uid="{1382407F-9092-4DDA-BA46-C045D63848BA}"/>
    <cellStyle name="Moneda 15 2 9" xfId="3235" xr:uid="{3AB0E3F9-92D5-4D0F-8AC0-F26002BF00CF}"/>
    <cellStyle name="Moneda 15 2 9 2" xfId="6239" xr:uid="{FD9859BA-2978-484E-9D73-3BD2A9BAEFDD}"/>
    <cellStyle name="Moneda 15 2 9 2 2" xfId="13800" xr:uid="{D265BE8C-FE9A-4B71-A092-2BAF17C0623F}"/>
    <cellStyle name="Moneda 15 2 9 3" xfId="7643" xr:uid="{B78A2459-F092-4F57-BD0C-4D2E2E8E8F97}"/>
    <cellStyle name="Moneda 15 2 9 3 2" xfId="15172" xr:uid="{7820A078-25FF-4DF5-8FB1-497E77A2890E}"/>
    <cellStyle name="Moneda 15 2 9 4" xfId="10817" xr:uid="{CD351B93-0FD2-48DD-A820-53ECCC55DD4E}"/>
    <cellStyle name="Moneda 15 3" xfId="1451" xr:uid="{0A01DF0E-AC00-483E-BF6C-77038C322B34}"/>
    <cellStyle name="Moneda 15 3 10" xfId="2398" xr:uid="{FB0C4D39-98C3-457F-BBC0-977D15A6EDC9}"/>
    <cellStyle name="Moneda 15 3 10 2" xfId="6529" xr:uid="{85B62ABE-2BAB-46E1-946C-DF40A3A377C6}"/>
    <cellStyle name="Moneda 15 3 10 2 2" xfId="14085" xr:uid="{5C4D5CC5-FB45-4964-9BF6-36F9A88D80FE}"/>
    <cellStyle name="Moneda 15 3 10 3" xfId="7928" xr:uid="{91F6DB51-08F8-47BA-AE9E-94C126F6EFFD}"/>
    <cellStyle name="Moneda 15 3 10 3 2" xfId="15457" xr:uid="{8C508509-2F30-49AC-80DD-F0DCA9A20CF4}"/>
    <cellStyle name="Moneda 15 3 10 4" xfId="9986" xr:uid="{595CF801-700B-4902-B984-AB9FD53D6858}"/>
    <cellStyle name="Moneda 15 3 11" xfId="4411" xr:uid="{7AF557EC-96AC-4D87-977E-986C8BFC9CBA}"/>
    <cellStyle name="Moneda 15 3 11 2" xfId="11979" xr:uid="{DD828B4D-ED8E-41A3-AAF8-D35AF9919136}"/>
    <cellStyle name="Moneda 15 3 12" xfId="5408" xr:uid="{C43D5D79-C75A-48A0-9BD5-19DAAD01B11B}"/>
    <cellStyle name="Moneda 15 3 12 2" xfId="12969" xr:uid="{09A554FC-8D4D-4D30-9BB1-93127F79211A}"/>
    <cellStyle name="Moneda 15 3 13" xfId="6812" xr:uid="{451435BF-CE4E-4F4D-994D-ACD753206A88}"/>
    <cellStyle name="Moneda 15 3 13 2" xfId="14341" xr:uid="{298405DE-4D80-458B-BD43-EF2702A0B343}"/>
    <cellStyle name="Moneda 15 3 14" xfId="9059" xr:uid="{E214BBC0-E96B-4E9F-9A07-87404EB56297}"/>
    <cellStyle name="Moneda 15 3 2" xfId="2522" xr:uid="{062AED55-F7DD-4BC4-ABA4-B61B6B549B78}"/>
    <cellStyle name="Moneda 15 3 2 2" xfId="6664" xr:uid="{92BC5962-9BF9-4DDB-9B84-A04349A4FE8F}"/>
    <cellStyle name="Moneda 15 3 2 2 2" xfId="8050" xr:uid="{B5100561-E6C1-4FAE-B4D1-96B35DB18ECA}"/>
    <cellStyle name="Moneda 15 3 2 2 2 2" xfId="15579" xr:uid="{CC2FF922-1B97-48A8-92C8-2D6F88B66656}"/>
    <cellStyle name="Moneda 15 3 2 2 3" xfId="14207" xr:uid="{927F5B79-8E93-402B-84AE-29E5091EA571}"/>
    <cellStyle name="Moneda 15 3 2 3" xfId="5528" xr:uid="{2C793A5A-E6C0-439D-BD85-52ABCE8A4939}"/>
    <cellStyle name="Moneda 15 3 2 3 2" xfId="13089" xr:uid="{DD666176-1C82-48A5-AD42-1B3F78E51920}"/>
    <cellStyle name="Moneda 15 3 2 4" xfId="6932" xr:uid="{032AC9B7-F2FE-4DB6-B64F-3EA69E0D4A16}"/>
    <cellStyle name="Moneda 15 3 2 4 2" xfId="14461" xr:uid="{2818C199-E69C-48F9-B3D6-C1DD6EE579B8}"/>
    <cellStyle name="Moneda 15 3 2 5" xfId="10106" xr:uid="{8D7D04B8-2BC5-4FAD-B0B6-E7ADCB40BEC5}"/>
    <cellStyle name="Moneda 15 3 3" xfId="2643" xr:uid="{0FA616F8-4213-49FD-B9BD-E96FA2FF9D3B}"/>
    <cellStyle name="Moneda 15 3 3 2" xfId="5648" xr:uid="{FE4256A0-B45D-41F7-A1DD-E4FE815CA4B3}"/>
    <cellStyle name="Moneda 15 3 3 2 2" xfId="13209" xr:uid="{ACC81E7E-72CF-496D-B1DA-48939F01E6F3}"/>
    <cellStyle name="Moneda 15 3 3 3" xfId="7052" xr:uid="{1C826BDF-7F1E-4DA1-9C93-6DD806B295CC}"/>
    <cellStyle name="Moneda 15 3 3 3 2" xfId="14581" xr:uid="{15D0553E-5C81-4DC2-A3FA-E2640930C407}"/>
    <cellStyle name="Moneda 15 3 3 4" xfId="10226" xr:uid="{62829B2A-E5A3-4902-B30E-DEA4F43F19DA}"/>
    <cellStyle name="Moneda 15 3 4" xfId="2765" xr:uid="{BEE7FDF8-D680-4F64-A441-F8042CC1314E}"/>
    <cellStyle name="Moneda 15 3 4 2" xfId="5770" xr:uid="{975EB79D-C3FA-43A8-A9C1-C1E2A3C9967D}"/>
    <cellStyle name="Moneda 15 3 4 2 2" xfId="13331" xr:uid="{06649B1D-B76A-46DD-BB87-C0E86563AAFD}"/>
    <cellStyle name="Moneda 15 3 4 3" xfId="7174" xr:uid="{EE269229-40C6-4090-98C1-7FC547D602AC}"/>
    <cellStyle name="Moneda 15 3 4 3 2" xfId="14703" xr:uid="{2809D561-D181-4468-9476-DBC37CC3EFCA}"/>
    <cellStyle name="Moneda 15 3 4 4" xfId="10348" xr:uid="{C7934E84-AC23-4E31-93CC-2BCF958BFEAD}"/>
    <cellStyle name="Moneda 15 3 5" xfId="2890" xr:uid="{523DA65E-BAC2-4F17-AEF7-71F9F3F1E6B8}"/>
    <cellStyle name="Moneda 15 3 5 2" xfId="5894" xr:uid="{D74A9891-23FF-47DB-A6D8-91131AFA06E9}"/>
    <cellStyle name="Moneda 15 3 5 2 2" xfId="13455" xr:uid="{D23F9A3E-4BBC-40CF-BAA1-045C6226A487}"/>
    <cellStyle name="Moneda 15 3 5 3" xfId="7298" xr:uid="{E06B6E78-E227-433F-9817-4F9B486139C1}"/>
    <cellStyle name="Moneda 15 3 5 3 2" xfId="14827" xr:uid="{0CB07E84-C954-40E0-8315-A06840395A8E}"/>
    <cellStyle name="Moneda 15 3 5 4" xfId="10472" xr:uid="{FDB5B4B5-48C8-4B89-9407-487C487C94D9}"/>
    <cellStyle name="Moneda 15 3 6" xfId="3014" xr:uid="{0A141E6A-56F3-4E5D-BFF0-42D6D038FCAE}"/>
    <cellStyle name="Moneda 15 3 6 2" xfId="6018" xr:uid="{ECBB476C-127D-4816-8148-693DDDDCFC7D}"/>
    <cellStyle name="Moneda 15 3 6 2 2" xfId="13579" xr:uid="{1B0A4560-3CBC-427A-8FF1-6B2C0E38A734}"/>
    <cellStyle name="Moneda 15 3 6 3" xfId="7422" xr:uid="{D2A9CEDB-CEF7-4F37-998B-2AA9A3FEC665}"/>
    <cellStyle name="Moneda 15 3 6 3 2" xfId="14951" xr:uid="{1C2D2C68-7E7C-427E-A597-5536AD0A9BD8}"/>
    <cellStyle name="Moneda 15 3 6 4" xfId="10596" xr:uid="{7312D28C-F5AF-4737-95E9-308FE12AB25C}"/>
    <cellStyle name="Moneda 15 3 7" xfId="3138" xr:uid="{E7D85710-5F80-4765-AC3D-12CC6E27700D}"/>
    <cellStyle name="Moneda 15 3 7 2" xfId="6142" xr:uid="{63746842-A41A-42AA-BF31-902C0589E19E}"/>
    <cellStyle name="Moneda 15 3 7 2 2" xfId="13703" xr:uid="{28F888C5-EF3B-4244-B2DA-34B3596D28D5}"/>
    <cellStyle name="Moneda 15 3 7 3" xfId="7546" xr:uid="{0B18C729-52F8-4627-BB94-8C6404208765}"/>
    <cellStyle name="Moneda 15 3 7 3 2" xfId="15075" xr:uid="{B1DCA1ED-7067-493D-A98D-DA012BD02669}"/>
    <cellStyle name="Moneda 15 3 7 4" xfId="10720" xr:uid="{D29CFF90-32AE-41F6-8F84-EB955E199F6B}"/>
    <cellStyle name="Moneda 15 3 8" xfId="3263" xr:uid="{79A48EB5-A627-4286-83AF-0F09C83D9E57}"/>
    <cellStyle name="Moneda 15 3 8 2" xfId="6267" xr:uid="{DC49B68F-B2B6-4DC6-B6EF-57DB78A97E25}"/>
    <cellStyle name="Moneda 15 3 8 2 2" xfId="13828" xr:uid="{F22C13A9-4D04-493A-8B88-5F1470238FE9}"/>
    <cellStyle name="Moneda 15 3 8 3" xfId="7671" xr:uid="{EB791F19-989C-4740-ACC3-0AD21F097048}"/>
    <cellStyle name="Moneda 15 3 8 3 2" xfId="15200" xr:uid="{12D17579-8161-460B-B503-DC142654F788}"/>
    <cellStyle name="Moneda 15 3 8 4" xfId="10845" xr:uid="{58BDFA92-A48A-4D6F-B6BE-309EE257BDDD}"/>
    <cellStyle name="Moneda 15 3 9" xfId="3391" xr:uid="{2F32DA70-D28C-41B8-B78D-4FBA65656F35}"/>
    <cellStyle name="Moneda 15 3 9 2" xfId="6393" xr:uid="{2BBBE879-2AB9-4CDF-9C90-E6C4CBE3D72B}"/>
    <cellStyle name="Moneda 15 3 9 2 2" xfId="13954" xr:uid="{9E9076CD-547C-4D95-9224-D2753CE5BC65}"/>
    <cellStyle name="Moneda 15 3 9 3" xfId="7797" xr:uid="{0BE48095-4E5F-4951-87FD-112E10346E54}"/>
    <cellStyle name="Moneda 15 3 9 3 2" xfId="15326" xr:uid="{49A05B49-4C64-4161-BFDB-405EB4769F26}"/>
    <cellStyle name="Moneda 15 3 9 4" xfId="10971" xr:uid="{EBF6E0E5-F0C4-4756-9539-FE616B24EF85}"/>
    <cellStyle name="Moneda 15 4" xfId="1830" xr:uid="{2A9FAEAA-8707-4EF9-94CF-8BBC7F2FB64D}"/>
    <cellStyle name="Moneda 15 4 2" xfId="2463" xr:uid="{3198E5A8-7284-495F-B505-07D947F564A6}"/>
    <cellStyle name="Moneda 15 4 2 2" xfId="6606" xr:uid="{327A0768-93D0-459A-A70B-DEEF469F9B97}"/>
    <cellStyle name="Moneda 15 4 2 2 2" xfId="14149" xr:uid="{00C6DA52-8416-491F-8637-5ADCD04ABB73}"/>
    <cellStyle name="Moneda 15 4 2 3" xfId="7992" xr:uid="{CF8FF007-B86F-4334-8894-055CE5F0974F}"/>
    <cellStyle name="Moneda 15 4 2 3 2" xfId="15521" xr:uid="{4409A7C2-547A-442A-A51D-2ED06F0F7145}"/>
    <cellStyle name="Moneda 15 4 2 4" xfId="10047" xr:uid="{4EF75F4E-2B24-4F46-AA04-8FEA89A1A2AC}"/>
    <cellStyle name="Moneda 15 4 3" xfId="4789" xr:uid="{9E7C8C7F-9C02-490A-AAEC-E8D6379E35BD}"/>
    <cellStyle name="Moneda 15 4 3 2" xfId="12357" xr:uid="{BE4ECD73-7E45-4263-965D-446581D8DAC2}"/>
    <cellStyle name="Moneda 15 4 4" xfId="5469" xr:uid="{F0F922C8-9603-42B5-BFEE-09AB16CE73C3}"/>
    <cellStyle name="Moneda 15 4 4 2" xfId="13030" xr:uid="{8DDBE2D3-3F6A-45F5-9F82-B2F0BF6BBD53}"/>
    <cellStyle name="Moneda 15 4 5" xfId="6873" xr:uid="{D2D404C8-5072-484A-807E-54647B8A7D8F}"/>
    <cellStyle name="Moneda 15 4 5 2" xfId="14402" xr:uid="{AE4D7040-62DA-46B9-83D9-4F679E43FF71}"/>
    <cellStyle name="Moneda 15 4 6" xfId="9437" xr:uid="{A87959A6-A25F-4CA5-9642-18C17D758134}"/>
    <cellStyle name="Moneda 15 5" xfId="2585" xr:uid="{A82F79D7-6672-4913-8CCA-EC0853BAEBB6}"/>
    <cellStyle name="Moneda 15 5 2" xfId="5590" xr:uid="{CE450C23-A649-4ABE-AB13-CBCB4A8F585A}"/>
    <cellStyle name="Moneda 15 5 2 2" xfId="13151" xr:uid="{4CDA92A3-E15A-4A40-A542-3576DFD44FF4}"/>
    <cellStyle name="Moneda 15 5 3" xfId="6994" xr:uid="{36B13E82-D10A-43ED-A5C5-39657723DEA6}"/>
    <cellStyle name="Moneda 15 5 3 2" xfId="14523" xr:uid="{D81D0A16-51F3-4F7C-BCDE-8A65A1CD06EA}"/>
    <cellStyle name="Moneda 15 5 4" xfId="10168" xr:uid="{24AC4876-0065-4F31-8C86-5FBEF9CB0934}"/>
    <cellStyle name="Moneda 15 6" xfId="2707" xr:uid="{BDDFA649-F47D-4329-91CA-ECC21549261B}"/>
    <cellStyle name="Moneda 15 6 2" xfId="5712" xr:uid="{5B65EF3A-696E-4EB3-99C0-3AB0B2FD0998}"/>
    <cellStyle name="Moneda 15 6 2 2" xfId="13273" xr:uid="{232F5052-E991-4CA4-8763-90915BF4A43F}"/>
    <cellStyle name="Moneda 15 6 3" xfId="7116" xr:uid="{C2ADCB63-92BA-4A6C-989D-5CFF07C21124}"/>
    <cellStyle name="Moneda 15 6 3 2" xfId="14645" xr:uid="{D802FB71-A013-4C32-B8B8-E8FBA5FD901B}"/>
    <cellStyle name="Moneda 15 6 4" xfId="10290" xr:uid="{573396AD-222E-475A-AB8D-ABEBFE789CEA}"/>
    <cellStyle name="Moneda 15 7" xfId="2832" xr:uid="{3878D4D1-09A8-43FE-A530-73E07D6C03C2}"/>
    <cellStyle name="Moneda 15 7 2" xfId="5836" xr:uid="{26935A12-9905-41F0-B089-6F76EB3B41EE}"/>
    <cellStyle name="Moneda 15 7 2 2" xfId="13397" xr:uid="{A14FE0BD-681A-4F62-B81B-4E0D0A38D501}"/>
    <cellStyle name="Moneda 15 7 3" xfId="7240" xr:uid="{66AB0483-ACE3-45B9-BA7A-A7FDC1FB9838}"/>
    <cellStyle name="Moneda 15 7 3 2" xfId="14769" xr:uid="{11BFB294-8A30-47A5-A0FF-1C8B7EC7A751}"/>
    <cellStyle name="Moneda 15 7 4" xfId="10414" xr:uid="{EAD77382-8A1D-4549-98BC-7F153A1871FC}"/>
    <cellStyle name="Moneda 15 8" xfId="2956" xr:uid="{8F2F8A93-7EC2-4DDE-AFAE-438A214F2E37}"/>
    <cellStyle name="Moneda 15 8 2" xfId="5960" xr:uid="{C75E2EE9-1007-4344-B0E9-2BA49CFB8F76}"/>
    <cellStyle name="Moneda 15 8 2 2" xfId="13521" xr:uid="{D000785F-C476-48C6-B591-61ED34A7800C}"/>
    <cellStyle name="Moneda 15 8 3" xfId="7364" xr:uid="{AA05067F-D761-4E7D-A2AA-B830802B479F}"/>
    <cellStyle name="Moneda 15 8 3 2" xfId="14893" xr:uid="{680A0B25-88D4-4A02-8EF5-86A08AB11110}"/>
    <cellStyle name="Moneda 15 8 4" xfId="10538" xr:uid="{D70D34D4-2127-4B00-A110-C501A3719556}"/>
    <cellStyle name="Moneda 15 9" xfId="3080" xr:uid="{897C99FB-6E94-46BC-BAC0-4800670EE703}"/>
    <cellStyle name="Moneda 15 9 2" xfId="6084" xr:uid="{AF7B2A9D-1B53-4809-8D19-848620B7CAEE}"/>
    <cellStyle name="Moneda 15 9 2 2" xfId="13645" xr:uid="{7A52AD04-5704-41DA-92E6-061844F1045B}"/>
    <cellStyle name="Moneda 15 9 3" xfId="7488" xr:uid="{9F818462-B2FF-4030-97C6-A4D6F865897D}"/>
    <cellStyle name="Moneda 15 9 3 2" xfId="15017" xr:uid="{2A107E47-FF9B-490C-8D48-2EB5CC1F9FD1}"/>
    <cellStyle name="Moneda 15 9 4" xfId="10662" xr:uid="{7BAA229F-DD67-498D-9B83-7CE9ACD5E8C3}"/>
    <cellStyle name="Moneda 150" xfId="635" xr:uid="{B69B0326-1B56-4D71-91B7-60159C3137DF}"/>
    <cellStyle name="Moneda 150 2" xfId="1357" xr:uid="{3CC2F538-C4F2-4EA2-8542-0C706BCE4E95}"/>
    <cellStyle name="Moneda 150 2 2" xfId="4317" xr:uid="{FB8111C5-E06B-4BA0-A796-3B3FFCD72902}"/>
    <cellStyle name="Moneda 150 2 2 2" xfId="11885" xr:uid="{B09BA105-A102-4AAF-A68F-DFCFA71553BF}"/>
    <cellStyle name="Moneda 150 2 3" xfId="8965" xr:uid="{BFC4AAF8-7D8D-4541-80C7-BCAD7A12FB98}"/>
    <cellStyle name="Moneda 150 3" xfId="1721" xr:uid="{718D497D-99E9-4C5B-BA23-AB7DC11BCF6F}"/>
    <cellStyle name="Moneda 150 3 2" xfId="4681" xr:uid="{1DD917F0-5D27-425C-99B8-DE8ADF2547FF}"/>
    <cellStyle name="Moneda 150 3 2 2" xfId="12249" xr:uid="{2EE5DC6B-43C6-4679-8CEE-4324CFFD4DFB}"/>
    <cellStyle name="Moneda 150 3 3" xfId="9329" xr:uid="{8FD57AA4-B268-4486-A1C7-A97368310CBD}"/>
    <cellStyle name="Moneda 150 4" xfId="2100" xr:uid="{34CDB9EA-2F68-49EE-90DA-A64BD39754C9}"/>
    <cellStyle name="Moneda 150 4 2" xfId="5059" xr:uid="{2E23EE51-F510-4408-9E29-29E51DF87A05}"/>
    <cellStyle name="Moneda 150 4 2 2" xfId="12627" xr:uid="{33DE906A-AC55-4BE0-9FE3-DE664B6507F4}"/>
    <cellStyle name="Moneda 150 4 3" xfId="9707" xr:uid="{9AB4BEAE-3CD5-461D-BB91-84E1E4C87DD1}"/>
    <cellStyle name="Moneda 150 5" xfId="3786" xr:uid="{4C5FC3D3-381A-4533-BF59-DDF361DDF672}"/>
    <cellStyle name="Moneda 150 5 2" xfId="11354" xr:uid="{94FEA3B6-B981-44A1-8190-F974F398E78E}"/>
    <cellStyle name="Moneda 150 6" xfId="8434" xr:uid="{55DA7174-3186-4069-9CE2-87D0DD58AA5E}"/>
    <cellStyle name="Moneda 151" xfId="638" xr:uid="{54FA53BE-F2CB-4B90-A2B3-15A1F7C91A27}"/>
    <cellStyle name="Moneda 151 2" xfId="1359" xr:uid="{5ADEED76-AF2D-4306-8589-F2E6B6E7A7A5}"/>
    <cellStyle name="Moneda 151 2 2" xfId="4319" xr:uid="{6158A246-F81A-49EC-9899-866F92306CD0}"/>
    <cellStyle name="Moneda 151 2 2 2" xfId="11887" xr:uid="{6142CC5E-8DB5-40DB-9781-3F85E3B89D73}"/>
    <cellStyle name="Moneda 151 2 3" xfId="8967" xr:uid="{554CAAB2-FE3A-417D-9856-92AA6B8CF135}"/>
    <cellStyle name="Moneda 151 3" xfId="1723" xr:uid="{0877CDB0-C06F-460B-99C8-EBF18C626B35}"/>
    <cellStyle name="Moneda 151 3 2" xfId="4683" xr:uid="{9FEAE04A-836F-400B-8826-6E438E160849}"/>
    <cellStyle name="Moneda 151 3 2 2" xfId="12251" xr:uid="{31249D94-E2A1-4BF3-83D6-0560F43B72CF}"/>
    <cellStyle name="Moneda 151 3 3" xfId="9331" xr:uid="{FA60242B-33DF-475D-8519-1A80297D9E2A}"/>
    <cellStyle name="Moneda 151 4" xfId="2102" xr:uid="{F0220434-EAC3-4E10-9C51-BCD5D08D34AB}"/>
    <cellStyle name="Moneda 151 4 2" xfId="5061" xr:uid="{51B88C95-ED62-4AD5-B750-2E8F6C7376B4}"/>
    <cellStyle name="Moneda 151 4 2 2" xfId="12629" xr:uid="{66004843-8922-4170-8909-34E3DF5C9813}"/>
    <cellStyle name="Moneda 151 4 3" xfId="9709" xr:uid="{F33D9270-2488-4071-939A-99FBFD977A00}"/>
    <cellStyle name="Moneda 151 5" xfId="3788" xr:uid="{5DF1CC38-074A-424C-8E1D-FBA5A3BCE111}"/>
    <cellStyle name="Moneda 151 5 2" xfId="11356" xr:uid="{00FBFE6C-5EE3-4BCA-9A84-C772083553FB}"/>
    <cellStyle name="Moneda 151 6" xfId="8436" xr:uid="{45DCBF89-BF93-40E4-9916-C4A0A4D58231}"/>
    <cellStyle name="Moneda 152" xfId="641" xr:uid="{ADDD339A-A9EB-4971-9BFE-711EF47AD82B}"/>
    <cellStyle name="Moneda 152 2" xfId="1361" xr:uid="{658B698C-54D7-4CF3-A01A-96815E7006B2}"/>
    <cellStyle name="Moneda 152 2 2" xfId="4321" xr:uid="{41EC904A-46EF-4487-8A62-51A3803F7301}"/>
    <cellStyle name="Moneda 152 2 2 2" xfId="11889" xr:uid="{E310A5E3-085B-411C-B3C9-BAE3CCFF6C87}"/>
    <cellStyle name="Moneda 152 2 3" xfId="8969" xr:uid="{DAFA7D1C-C1BE-440A-BD99-893DF83DEA8B}"/>
    <cellStyle name="Moneda 152 3" xfId="1725" xr:uid="{E34E5A77-5CDD-42E1-B151-FB5F66FD1A00}"/>
    <cellStyle name="Moneda 152 3 2" xfId="4685" xr:uid="{3B8A1E14-D259-4D2C-8F81-0C2449FE6D1E}"/>
    <cellStyle name="Moneda 152 3 2 2" xfId="12253" xr:uid="{82A296E9-7331-4B63-86F0-F50980035FD0}"/>
    <cellStyle name="Moneda 152 3 3" xfId="9333" xr:uid="{9E3C7225-BAC8-4FFB-8965-1DC84AF00D9A}"/>
    <cellStyle name="Moneda 152 4" xfId="2104" xr:uid="{D69D84D7-67F9-48BD-9497-8102CBD09464}"/>
    <cellStyle name="Moneda 152 4 2" xfId="5063" xr:uid="{5B79021C-564C-4E8C-864B-232008B955AD}"/>
    <cellStyle name="Moneda 152 4 2 2" xfId="12631" xr:uid="{B088F826-E503-4B19-B4BC-618C68BF00B4}"/>
    <cellStyle name="Moneda 152 4 3" xfId="9711" xr:uid="{4FAF457F-00F2-4A39-B2B1-B3659EC63394}"/>
    <cellStyle name="Moneda 152 5" xfId="3790" xr:uid="{D3A7FF32-9286-45E6-B8A7-961C4B5FB94C}"/>
    <cellStyle name="Moneda 152 5 2" xfId="11358" xr:uid="{CCFE1404-5E63-414C-A9FC-6AA4309CB168}"/>
    <cellStyle name="Moneda 152 6" xfId="8438" xr:uid="{DEAB1F46-F190-4C4D-927F-D2030DFC780F}"/>
    <cellStyle name="Moneda 153" xfId="644" xr:uid="{DC50CA4D-297A-47B7-AEBF-CCCDEFEBEB3A}"/>
    <cellStyle name="Moneda 153 2" xfId="1363" xr:uid="{483AEF7A-9A01-430A-B131-9F58B85A1564}"/>
    <cellStyle name="Moneda 153 2 2" xfId="4323" xr:uid="{EF9195E9-703B-49C7-BEF5-F3C35654BA2A}"/>
    <cellStyle name="Moneda 153 2 2 2" xfId="11891" xr:uid="{993FF6A5-E230-4142-B2A3-EB6553DEB831}"/>
    <cellStyle name="Moneda 153 2 3" xfId="8971" xr:uid="{3CAEEB39-5A22-4E1E-AAA0-7E0F61CF00D8}"/>
    <cellStyle name="Moneda 153 3" xfId="1727" xr:uid="{2BA3E852-06F2-43CC-AA78-235F3D86DC70}"/>
    <cellStyle name="Moneda 153 3 2" xfId="4687" xr:uid="{C616ACFD-68B8-4ADD-BABD-AFA1A7AC5053}"/>
    <cellStyle name="Moneda 153 3 2 2" xfId="12255" xr:uid="{9C4E0A73-1870-4991-8C35-A214F2BF4233}"/>
    <cellStyle name="Moneda 153 3 3" xfId="9335" xr:uid="{CC2ED6E1-970F-4999-818B-37F99B8B173B}"/>
    <cellStyle name="Moneda 153 4" xfId="2106" xr:uid="{B66C3428-92C1-4549-A654-973E9EC721A7}"/>
    <cellStyle name="Moneda 153 4 2" xfId="5065" xr:uid="{1AF79B77-9C6C-4F60-9D5D-9EFA0392AA25}"/>
    <cellStyle name="Moneda 153 4 2 2" xfId="12633" xr:uid="{7324B1DC-EC34-4B28-B909-DBB70712ADFA}"/>
    <cellStyle name="Moneda 153 4 3" xfId="9713" xr:uid="{5F0E6A95-060B-4F80-957E-615FC7E96CF1}"/>
    <cellStyle name="Moneda 153 5" xfId="3792" xr:uid="{0CC74007-E593-4385-A466-252F6A6623CA}"/>
    <cellStyle name="Moneda 153 5 2" xfId="11360" xr:uid="{7B16CA13-DFCA-40AB-B637-4D75A84FB198}"/>
    <cellStyle name="Moneda 153 6" xfId="8440" xr:uid="{C177AE69-C708-4CA1-B8EC-355391A8698A}"/>
    <cellStyle name="Moneda 154" xfId="647" xr:uid="{9B2720E8-FBF5-47D9-943F-E09C3BECFFB1}"/>
    <cellStyle name="Moneda 154 2" xfId="1365" xr:uid="{5F7CCAA9-1FB7-4FE3-9E9C-C2344CEBB241}"/>
    <cellStyle name="Moneda 154 2 2" xfId="4325" xr:uid="{8BC4B0D0-3570-408E-BA63-FFD3299AD4A8}"/>
    <cellStyle name="Moneda 154 2 2 2" xfId="11893" xr:uid="{EC97A643-22C2-4BF6-9577-255F0F05BC9D}"/>
    <cellStyle name="Moneda 154 2 3" xfId="8973" xr:uid="{60063C30-82A9-40D9-8F8A-B0379D4CCBB4}"/>
    <cellStyle name="Moneda 154 3" xfId="1729" xr:uid="{7EFBF5C0-EEFA-49ED-8AF8-54874EFE6640}"/>
    <cellStyle name="Moneda 154 3 2" xfId="4689" xr:uid="{12656974-4F12-4DF1-8FA8-C9FF188406DB}"/>
    <cellStyle name="Moneda 154 3 2 2" xfId="12257" xr:uid="{9D87F7FA-5632-4BE4-8519-6AE416F39010}"/>
    <cellStyle name="Moneda 154 3 3" xfId="9337" xr:uid="{28474F8F-285B-46A4-B599-51970EAF0E05}"/>
    <cellStyle name="Moneda 154 4" xfId="2108" xr:uid="{91DBBE4D-6EEB-4F12-989C-3D2562A9E112}"/>
    <cellStyle name="Moneda 154 4 2" xfId="5067" xr:uid="{F3204890-58D2-4AAA-9024-E482A739470D}"/>
    <cellStyle name="Moneda 154 4 2 2" xfId="12635" xr:uid="{E5F3B92E-02F5-4B9F-B7F2-3BDDA24B5201}"/>
    <cellStyle name="Moneda 154 4 3" xfId="9715" xr:uid="{87A57074-924F-4ED6-B69C-29192A9ACC54}"/>
    <cellStyle name="Moneda 154 5" xfId="3794" xr:uid="{51DFDA6A-29E6-4EBF-AA15-21AC46D4B2A8}"/>
    <cellStyle name="Moneda 154 5 2" xfId="11362" xr:uid="{6F520C00-3FB8-436C-8360-AA347590144B}"/>
    <cellStyle name="Moneda 154 6" xfId="8442" xr:uid="{6C767108-C4DD-44AE-9C24-F4046C6AF688}"/>
    <cellStyle name="Moneda 155" xfId="650" xr:uid="{9A3D54B7-B7C7-4766-8653-4E291F4FB647}"/>
    <cellStyle name="Moneda 155 2" xfId="1367" xr:uid="{14723623-152E-4411-8D29-0D0498BE44DE}"/>
    <cellStyle name="Moneda 155 2 2" xfId="4327" xr:uid="{49A94274-2D75-4822-8A10-7AE10F16E14A}"/>
    <cellStyle name="Moneda 155 2 2 2" xfId="11895" xr:uid="{D836E568-FC7C-425A-B6C6-1F711B10E17C}"/>
    <cellStyle name="Moneda 155 2 3" xfId="8975" xr:uid="{E1235C40-5EB4-42F3-932C-0C58BF865D65}"/>
    <cellStyle name="Moneda 155 3" xfId="1731" xr:uid="{6F6CA340-FAE0-4CB8-80EF-AB550631B8A4}"/>
    <cellStyle name="Moneda 155 3 2" xfId="4691" xr:uid="{51382C86-1EEE-479A-9640-852DB92CE2D1}"/>
    <cellStyle name="Moneda 155 3 2 2" xfId="12259" xr:uid="{E8A3A928-8BFE-4217-B20A-4C3FC2229683}"/>
    <cellStyle name="Moneda 155 3 3" xfId="9339" xr:uid="{120C61FF-EF5B-4161-B310-7B02D4AC46AF}"/>
    <cellStyle name="Moneda 155 4" xfId="2110" xr:uid="{13FB22D2-A623-4DA6-8AF0-6BA93F63DBEE}"/>
    <cellStyle name="Moneda 155 4 2" xfId="5069" xr:uid="{0E670FF2-C7C7-4817-957F-3E187FB5D122}"/>
    <cellStyle name="Moneda 155 4 2 2" xfId="12637" xr:uid="{41905C7A-3121-4C08-96D8-5BCCA281A2FE}"/>
    <cellStyle name="Moneda 155 4 3" xfId="9717" xr:uid="{87A49F27-2BC8-4D0E-A18B-7683619831CB}"/>
    <cellStyle name="Moneda 155 5" xfId="3796" xr:uid="{5B9A51CD-8BCB-45CB-B3B5-F1D2E4BACB80}"/>
    <cellStyle name="Moneda 155 5 2" xfId="11364" xr:uid="{9A8374C9-9C1D-4F5F-A000-E25BE2CEDCA1}"/>
    <cellStyle name="Moneda 155 6" xfId="8444" xr:uid="{4275A697-0A90-4F37-9563-5B41E2F39C89}"/>
    <cellStyle name="Moneda 156" xfId="653" xr:uid="{71058638-803C-452D-9F9E-DA25C5B186E0}"/>
    <cellStyle name="Moneda 156 2" xfId="1369" xr:uid="{01666389-44CB-4949-8201-880903D486D8}"/>
    <cellStyle name="Moneda 156 2 2" xfId="4329" xr:uid="{46053633-D188-47B4-9D94-1D641DD45958}"/>
    <cellStyle name="Moneda 156 2 2 2" xfId="11897" xr:uid="{E9140B50-C991-4AB6-846D-8625153F5FA3}"/>
    <cellStyle name="Moneda 156 2 3" xfId="8977" xr:uid="{439C6D8A-6A28-42B5-969D-36EC4629D33A}"/>
    <cellStyle name="Moneda 156 3" xfId="1733" xr:uid="{4EB8BB27-C707-4AAA-8B96-8425E33361C2}"/>
    <cellStyle name="Moneda 156 3 2" xfId="4693" xr:uid="{BECA9B52-82C4-4EBF-8DE1-4B6A93E76033}"/>
    <cellStyle name="Moneda 156 3 2 2" xfId="12261" xr:uid="{B4259FF9-4CA9-4B24-B457-2415868F1608}"/>
    <cellStyle name="Moneda 156 3 3" xfId="9341" xr:uid="{44D2AB48-A0FB-4128-8979-9234A97B12CD}"/>
    <cellStyle name="Moneda 156 4" xfId="2112" xr:uid="{63C42A80-885A-49AA-A0F4-BE42FD9F1FFE}"/>
    <cellStyle name="Moneda 156 4 2" xfId="5071" xr:uid="{E01A5528-C35C-4A71-A08C-F00A7087DAF6}"/>
    <cellStyle name="Moneda 156 4 2 2" xfId="12639" xr:uid="{7C02060D-92AA-413D-87DF-2C0D63E2D52C}"/>
    <cellStyle name="Moneda 156 4 3" xfId="9719" xr:uid="{1FDD1C0F-3739-4B8A-A815-356937E3B375}"/>
    <cellStyle name="Moneda 156 5" xfId="3798" xr:uid="{67EBDFE6-45E5-424A-86A1-DC8DA9423442}"/>
    <cellStyle name="Moneda 156 5 2" xfId="11366" xr:uid="{C1E9F0FD-F9A8-44F4-B7EF-E855E5D385FC}"/>
    <cellStyle name="Moneda 156 6" xfId="8446" xr:uid="{D3121463-6F9B-4692-BC41-DA2C31098086}"/>
    <cellStyle name="Moneda 157" xfId="656" xr:uid="{C0D637A6-424A-4405-B264-4ADDF2737CB5}"/>
    <cellStyle name="Moneda 157 2" xfId="1371" xr:uid="{D97671ED-BFEE-45A1-B6BB-AA68E63EF7D6}"/>
    <cellStyle name="Moneda 157 2 2" xfId="4331" xr:uid="{845357FB-937D-4CF4-9C74-510C763BB0B9}"/>
    <cellStyle name="Moneda 157 2 2 2" xfId="11899" xr:uid="{21002286-1EAD-4BC4-95D2-8EC3CB6A6963}"/>
    <cellStyle name="Moneda 157 2 3" xfId="8979" xr:uid="{7352A520-A63B-49E6-AADA-D325A523B2DC}"/>
    <cellStyle name="Moneda 157 3" xfId="1735" xr:uid="{8E082E81-0A6E-4D84-ADF7-71B79587C437}"/>
    <cellStyle name="Moneda 157 3 2" xfId="4695" xr:uid="{3429C0C2-7807-4B30-8E49-16788F93A0F4}"/>
    <cellStyle name="Moneda 157 3 2 2" xfId="12263" xr:uid="{E11838EB-07E8-4067-B5C5-25D0BC87FEC9}"/>
    <cellStyle name="Moneda 157 3 3" xfId="9343" xr:uid="{71686978-5094-4FBC-A48C-8BF0CBE6FEA2}"/>
    <cellStyle name="Moneda 157 4" xfId="2114" xr:uid="{B0324D8E-DB61-47FE-99F7-946585199537}"/>
    <cellStyle name="Moneda 157 4 2" xfId="5073" xr:uid="{1005DD41-21DA-4C9F-80C9-92E2EB92D031}"/>
    <cellStyle name="Moneda 157 4 2 2" xfId="12641" xr:uid="{7CD691C4-13B3-44F0-90F3-4687C7064E58}"/>
    <cellStyle name="Moneda 157 4 3" xfId="9721" xr:uid="{A9DBE181-D11B-4AA7-8A63-05790D6B7630}"/>
    <cellStyle name="Moneda 157 5" xfId="3800" xr:uid="{DB3CEEA5-501E-432F-BCCE-83D008D9545F}"/>
    <cellStyle name="Moneda 157 5 2" xfId="11368" xr:uid="{9724C9DE-A026-4E8C-857E-E97AB6E81408}"/>
    <cellStyle name="Moneda 157 6" xfId="8448" xr:uid="{E004BD78-65DD-41DE-8D06-AC62DA079D97}"/>
    <cellStyle name="Moneda 158" xfId="659" xr:uid="{EF42119E-1B25-4D4C-8D57-241D5C38DF95}"/>
    <cellStyle name="Moneda 158 2" xfId="1373" xr:uid="{19AA297D-2638-4C4C-84B6-B1F7824F7BBF}"/>
    <cellStyle name="Moneda 158 2 2" xfId="4333" xr:uid="{FEB32BCE-625C-4AF3-A4D5-8157E8925AC7}"/>
    <cellStyle name="Moneda 158 2 2 2" xfId="11901" xr:uid="{67A6302A-D6E1-4B94-BA4A-754BE6EB9242}"/>
    <cellStyle name="Moneda 158 2 3" xfId="8981" xr:uid="{978C4446-95D6-4F87-93C6-82EF9DB5CDA7}"/>
    <cellStyle name="Moneda 158 3" xfId="1737" xr:uid="{51C1B2AC-7547-477E-BC01-08B80F50A29D}"/>
    <cellStyle name="Moneda 158 3 2" xfId="4697" xr:uid="{257DB862-5395-4217-845A-31479284E161}"/>
    <cellStyle name="Moneda 158 3 2 2" xfId="12265" xr:uid="{99F0C11C-9CE9-468E-983C-1C55A7347BBA}"/>
    <cellStyle name="Moneda 158 3 3" xfId="9345" xr:uid="{BBC4194F-CF3D-4B4B-8F59-4524292CB878}"/>
    <cellStyle name="Moneda 158 4" xfId="2116" xr:uid="{92AEECDA-A3C4-45ED-804D-CA42555771E6}"/>
    <cellStyle name="Moneda 158 4 2" xfId="5075" xr:uid="{121211A8-55A2-4859-B7F2-751383EB6E9D}"/>
    <cellStyle name="Moneda 158 4 2 2" xfId="12643" xr:uid="{A44B31D3-EDD0-4A82-9F95-4D83C40454C6}"/>
    <cellStyle name="Moneda 158 4 3" xfId="9723" xr:uid="{356FE983-21D2-4A2E-9AF1-3FBF19245D12}"/>
    <cellStyle name="Moneda 158 5" xfId="3802" xr:uid="{5CFB46F0-ED83-47FF-BFC5-E8A79EDEE31C}"/>
    <cellStyle name="Moneda 158 5 2" xfId="11370" xr:uid="{18213E62-A337-4436-99D9-17668D0AB9DB}"/>
    <cellStyle name="Moneda 158 6" xfId="8450" xr:uid="{27CAC02B-2E81-453E-B6C2-C1AE4E536EE8}"/>
    <cellStyle name="Moneda 159" xfId="662" xr:uid="{387E1073-4BE2-49A6-B372-42E4B5E54C0E}"/>
    <cellStyle name="Moneda 159 2" xfId="1375" xr:uid="{1D648100-B858-4767-85FA-638AAADAFF9F}"/>
    <cellStyle name="Moneda 159 2 2" xfId="4335" xr:uid="{A34358CA-5737-44D6-ACED-DFEE55E02B8E}"/>
    <cellStyle name="Moneda 159 2 2 2" xfId="11903" xr:uid="{9BE93CE4-AF98-48BE-8DC9-EC38C7CFEAC5}"/>
    <cellStyle name="Moneda 159 2 3" xfId="8983" xr:uid="{4FE153B2-D4B2-4D5D-AACA-B771462AA710}"/>
    <cellStyle name="Moneda 159 3" xfId="1739" xr:uid="{DB156CF8-7EA8-4618-89A7-9C24A07C0E94}"/>
    <cellStyle name="Moneda 159 3 2" xfId="4699" xr:uid="{AC021D48-26BF-4872-B37A-82E3742B711D}"/>
    <cellStyle name="Moneda 159 3 2 2" xfId="12267" xr:uid="{A23FD7BA-3873-4245-A946-91915D572FDC}"/>
    <cellStyle name="Moneda 159 3 3" xfId="9347" xr:uid="{58766C09-23E1-4DB0-B79F-9C4BF8453131}"/>
    <cellStyle name="Moneda 159 4" xfId="2118" xr:uid="{004A2EB8-F485-43C3-BFA6-152027CA84E2}"/>
    <cellStyle name="Moneda 159 4 2" xfId="5077" xr:uid="{13ED6758-2F4A-421F-BF2C-38A66E5925E8}"/>
    <cellStyle name="Moneda 159 4 2 2" xfId="12645" xr:uid="{82624A76-8EC3-45BA-8D35-393CD664E97E}"/>
    <cellStyle name="Moneda 159 4 3" xfId="9725" xr:uid="{D0BEA766-766D-48D9-BF7F-96266A087FA1}"/>
    <cellStyle name="Moneda 159 5" xfId="3804" xr:uid="{499B0222-B8E8-464E-B8B1-3FE85E471D44}"/>
    <cellStyle name="Moneda 159 5 2" xfId="11372" xr:uid="{87E5BE37-6F29-43DC-8E04-334927007939}"/>
    <cellStyle name="Moneda 159 6" xfId="8452" xr:uid="{DF7A91BE-4A06-45C0-BD6E-640037980586}"/>
    <cellStyle name="Moneda 16" xfId="81" xr:uid="{00000000-0005-0000-0000-000055000000}"/>
    <cellStyle name="Moneda 16 10" xfId="3206" xr:uid="{DA5FA4B5-7B6B-4F7D-A7B1-648C2C54E056}"/>
    <cellStyle name="Moneda 16 10 2" xfId="6210" xr:uid="{B272E6DB-64B5-4D85-8F5D-8F5074AC0DDE}"/>
    <cellStyle name="Moneda 16 10 2 2" xfId="13771" xr:uid="{9A775A94-58A9-4D53-857A-BB058E348CD8}"/>
    <cellStyle name="Moneda 16 10 3" xfId="7614" xr:uid="{7DAE5D35-CF42-4AC1-BD07-A227AF7569F1}"/>
    <cellStyle name="Moneda 16 10 3 2" xfId="15143" xr:uid="{5C4367E0-3C92-4C82-BA6E-7941196B099C}"/>
    <cellStyle name="Moneda 16 10 4" xfId="10788" xr:uid="{3ADE7218-98EB-4E08-9C28-F027B094EF59}"/>
    <cellStyle name="Moneda 16 11" xfId="3334" xr:uid="{4C00EB7A-4D0D-43C1-9115-8D8C554A3477}"/>
    <cellStyle name="Moneda 16 11 2" xfId="6336" xr:uid="{26874F3E-647C-44B6-837B-75F65EA7345C}"/>
    <cellStyle name="Moneda 16 11 2 2" xfId="13897" xr:uid="{CF045C65-3E59-481C-B46A-9990516473D0}"/>
    <cellStyle name="Moneda 16 11 3" xfId="7740" xr:uid="{46BCB143-0018-48F4-B8AE-C4DDC3A2E06E}"/>
    <cellStyle name="Moneda 16 11 3 2" xfId="15269" xr:uid="{2933C1FC-A64A-441E-91BD-7B30BB3E918C}"/>
    <cellStyle name="Moneda 16 11 4" xfId="10914" xr:uid="{B603E0C8-72C3-4A62-BA92-9A6FC136FE21}"/>
    <cellStyle name="Moneda 16 12" xfId="2332" xr:uid="{B92391A2-B37D-47D9-948B-869C99603CA4}"/>
    <cellStyle name="Moneda 16 12 2" xfId="6472" xr:uid="{0C8D1D5C-6CDD-48EC-8EC2-41DBE06FC8F8}"/>
    <cellStyle name="Moneda 16 12 2 2" xfId="14028" xr:uid="{346FA6F3-D7BF-49ED-A54C-F27DD895A4E8}"/>
    <cellStyle name="Moneda 16 12 3" xfId="7871" xr:uid="{E85D241C-07CB-42FF-9D34-0E579559D136}"/>
    <cellStyle name="Moneda 16 12 3 2" xfId="15400" xr:uid="{4C9EDE4F-CA2F-4F20-8263-72B3C02A96FC}"/>
    <cellStyle name="Moneda 16 12 4" xfId="9929" xr:uid="{44F1F08E-CF6B-43B9-8659-1CA15C348D9E}"/>
    <cellStyle name="Moneda 16 13" xfId="3518" xr:uid="{038C6574-9F58-476D-898C-47B4F3A3C7DA}"/>
    <cellStyle name="Moneda 16 13 2" xfId="11086" xr:uid="{E51D3BC6-9EBF-4FE5-B449-9F58D869574E}"/>
    <cellStyle name="Moneda 16 14" xfId="5351" xr:uid="{1B00AEB7-2D27-4495-9C29-B551B9FAD2A0}"/>
    <cellStyle name="Moneda 16 14 2" xfId="12912" xr:uid="{27CBC583-3F63-4661-AD88-725A0A3DA1B2}"/>
    <cellStyle name="Moneda 16 15" xfId="6755" xr:uid="{107E1949-8A81-4023-AB32-99E1B6DAAD6F}"/>
    <cellStyle name="Moneda 16 15 2" xfId="14284" xr:uid="{2FC9B5DF-B650-4659-B302-FD25F8B66E31}"/>
    <cellStyle name="Moneda 16 16" xfId="8166" xr:uid="{C78B3C15-FCFB-4E62-8028-C5650A6A2E4B}"/>
    <cellStyle name="Moneda 16 17" xfId="232" xr:uid="{371E6554-B1FF-42D1-B613-949F7BF75E97}"/>
    <cellStyle name="Moneda 16 2" xfId="1089" xr:uid="{52DDBCAF-65AC-4867-9012-5E6CD8CA95CA}"/>
    <cellStyle name="Moneda 16 2 10" xfId="3364" xr:uid="{2155E415-E7F6-4777-A1F3-1EB2E7D398DF}"/>
    <cellStyle name="Moneda 16 2 10 2" xfId="6366" xr:uid="{DC154CC1-CFFF-4026-9B70-C1CF00F7D075}"/>
    <cellStyle name="Moneda 16 2 10 2 2" xfId="13927" xr:uid="{08B8D644-7876-4539-976E-5C0F4427064F}"/>
    <cellStyle name="Moneda 16 2 10 3" xfId="7770" xr:uid="{F1AD081F-4207-4A05-B033-FBFE98AF47D3}"/>
    <cellStyle name="Moneda 16 2 10 3 2" xfId="15299" xr:uid="{2D56E625-8459-4F25-9219-327421422895}"/>
    <cellStyle name="Moneda 16 2 10 4" xfId="10944" xr:uid="{2922966A-70B1-4766-9D39-3A1A6A2682CF}"/>
    <cellStyle name="Moneda 16 2 11" xfId="2369" xr:uid="{333221F2-DAE7-4FDF-A3FF-BB2C64740C53}"/>
    <cellStyle name="Moneda 16 2 11 2" xfId="6502" xr:uid="{D25ABB16-B6AC-4DB2-99F3-DD7E3028D7E5}"/>
    <cellStyle name="Moneda 16 2 11 2 2" xfId="14058" xr:uid="{491D366D-610A-493F-87BF-3DD4BAC2F53B}"/>
    <cellStyle name="Moneda 16 2 11 3" xfId="7901" xr:uid="{4538AFEB-C962-4FB0-83DE-88201E0374E0}"/>
    <cellStyle name="Moneda 16 2 11 3 2" xfId="15430" xr:uid="{D178EA13-A850-430F-AEA3-D1A703F4288C}"/>
    <cellStyle name="Moneda 16 2 11 4" xfId="9959" xr:uid="{8FF636E7-C597-474F-B009-3DDF6F9B77ED}"/>
    <cellStyle name="Moneda 16 2 12" xfId="4049" xr:uid="{F54A9A28-79E3-416D-B009-53E5CC613156}"/>
    <cellStyle name="Moneda 16 2 12 2" xfId="11617" xr:uid="{05D5C753-287D-41EB-8E4B-14E42E9F053E}"/>
    <cellStyle name="Moneda 16 2 13" xfId="5381" xr:uid="{A4024EB9-787D-47C7-9F2C-93F0EB8B94BF}"/>
    <cellStyle name="Moneda 16 2 13 2" xfId="12942" xr:uid="{48CD1673-F75D-4BA7-B3B1-CCE4AD7592D5}"/>
    <cellStyle name="Moneda 16 2 14" xfId="6785" xr:uid="{23FB6E2F-C768-4317-8174-F7D45A0D7A0C}"/>
    <cellStyle name="Moneda 16 2 14 2" xfId="14314" xr:uid="{1867F012-041B-4DA0-926A-865D1809731B}"/>
    <cellStyle name="Moneda 16 2 15" xfId="8697" xr:uid="{EDD6DB27-48EB-4A1D-937B-8F3290649660}"/>
    <cellStyle name="Moneda 16 2 2" xfId="2429" xr:uid="{D7EEB6BC-649A-4D65-A698-26FB1F9340D4}"/>
    <cellStyle name="Moneda 16 2 2 10" xfId="6560" xr:uid="{CEDB2DFE-85BF-4619-BD78-1C4AAB739C2E}"/>
    <cellStyle name="Moneda 16 2 2 10 2" xfId="7959" xr:uid="{A4CC8360-8B81-4B44-ADFE-8960BCFD1E56}"/>
    <cellStyle name="Moneda 16 2 2 10 2 2" xfId="15488" xr:uid="{FD03E215-9669-47A7-943A-28C9D9DD8D11}"/>
    <cellStyle name="Moneda 16 2 2 10 3" xfId="14116" xr:uid="{05D5B333-25AB-4D7F-9699-D97DBFF3A94F}"/>
    <cellStyle name="Moneda 16 2 2 11" xfId="5439" xr:uid="{2FDB7365-5DDE-4D9F-A600-61897CE7B928}"/>
    <cellStyle name="Moneda 16 2 2 11 2" xfId="13000" xr:uid="{7CA36302-F6CF-49BF-9D3A-28B71A6CD363}"/>
    <cellStyle name="Moneda 16 2 2 12" xfId="6843" xr:uid="{BE028457-E6E6-4977-B500-38002291D6CC}"/>
    <cellStyle name="Moneda 16 2 2 12 2" xfId="14372" xr:uid="{D678D2F3-B9C5-46AD-B63C-20881D619F95}"/>
    <cellStyle name="Moneda 16 2 2 13" xfId="10017" xr:uid="{18901D6A-E734-41D5-AF32-1722C936A336}"/>
    <cellStyle name="Moneda 16 2 2 2" xfId="2553" xr:uid="{B4929CF4-624B-47DF-92EC-DF2387CD3BD2}"/>
    <cellStyle name="Moneda 16 2 2 2 2" xfId="6695" xr:uid="{BD194DB6-3DF8-4F7B-8BC2-E3CADCC9D211}"/>
    <cellStyle name="Moneda 16 2 2 2 2 2" xfId="8081" xr:uid="{2ECFCD15-FC02-46A1-B1BB-5E47A4370239}"/>
    <cellStyle name="Moneda 16 2 2 2 2 2 2" xfId="15610" xr:uid="{86566041-8BA2-4199-90E7-163650D64791}"/>
    <cellStyle name="Moneda 16 2 2 2 2 3" xfId="14238" xr:uid="{C456E52C-6369-47BA-AD91-9A3773B241FD}"/>
    <cellStyle name="Moneda 16 2 2 2 3" xfId="5559" xr:uid="{34578F17-0ED3-465C-BDBF-4A5984695492}"/>
    <cellStyle name="Moneda 16 2 2 2 3 2" xfId="13120" xr:uid="{40BD160D-64D8-429A-B6FF-796311EFF234}"/>
    <cellStyle name="Moneda 16 2 2 2 4" xfId="6963" xr:uid="{31658B85-8A6B-40E1-925A-688739D77B90}"/>
    <cellStyle name="Moneda 16 2 2 2 4 2" xfId="14492" xr:uid="{8CE7EB23-6260-46BA-9759-ECBFEA72F45F}"/>
    <cellStyle name="Moneda 16 2 2 2 5" xfId="10137" xr:uid="{3712342A-E7B2-4F7F-A310-B72EE4E3DD93}"/>
    <cellStyle name="Moneda 16 2 2 3" xfId="2674" xr:uid="{7DA2B618-054D-4D3D-8AF6-BA3207F09A0E}"/>
    <cellStyle name="Moneda 16 2 2 3 2" xfId="5679" xr:uid="{DBDFAFD6-B5D1-4AB8-BE7E-02B51CA00BEB}"/>
    <cellStyle name="Moneda 16 2 2 3 2 2" xfId="13240" xr:uid="{175DCFEF-413C-4D43-BCAD-13FA65AB37E1}"/>
    <cellStyle name="Moneda 16 2 2 3 3" xfId="7083" xr:uid="{0F9E8F8A-7FF4-499C-A67E-A023ED4FA3DB}"/>
    <cellStyle name="Moneda 16 2 2 3 3 2" xfId="14612" xr:uid="{949277B3-34AD-4C2F-8842-A5242A668827}"/>
    <cellStyle name="Moneda 16 2 2 3 4" xfId="10257" xr:uid="{92A8198A-233F-4C18-982B-E3E5E68106C6}"/>
    <cellStyle name="Moneda 16 2 2 4" xfId="2796" xr:uid="{19640A1C-814A-4CD0-A52E-2D108EAA55E8}"/>
    <cellStyle name="Moneda 16 2 2 4 2" xfId="5801" xr:uid="{62352903-2F68-44E9-8224-D65C287CEC2F}"/>
    <cellStyle name="Moneda 16 2 2 4 2 2" xfId="13362" xr:uid="{8DD44D29-DB61-4C1D-9F16-1D84268674B7}"/>
    <cellStyle name="Moneda 16 2 2 4 3" xfId="7205" xr:uid="{45250FDA-7832-4549-B52D-03581F13BA41}"/>
    <cellStyle name="Moneda 16 2 2 4 3 2" xfId="14734" xr:uid="{3FE3D46D-7080-49EE-A116-D1883266096B}"/>
    <cellStyle name="Moneda 16 2 2 4 4" xfId="10379" xr:uid="{C2840114-DF9E-4FC8-A0CA-C865CDF77DD2}"/>
    <cellStyle name="Moneda 16 2 2 5" xfId="2921" xr:uid="{2CED13D2-8855-4C23-9EA2-A0CD5D03BC49}"/>
    <cellStyle name="Moneda 16 2 2 5 2" xfId="5925" xr:uid="{C14D7D95-5088-4AAD-B739-FB71AB410019}"/>
    <cellStyle name="Moneda 16 2 2 5 2 2" xfId="13486" xr:uid="{81456AC6-AE72-4B8C-9B9C-2331B96B4E25}"/>
    <cellStyle name="Moneda 16 2 2 5 3" xfId="7329" xr:uid="{FF47CAB2-57E6-4179-A8E6-B5BA4B56DDEB}"/>
    <cellStyle name="Moneda 16 2 2 5 3 2" xfId="14858" xr:uid="{ABEBB6F2-017B-4937-86D3-05731A704467}"/>
    <cellStyle name="Moneda 16 2 2 5 4" xfId="10503" xr:uid="{200088EB-FA0F-4A63-B81E-A0C6CF48CA66}"/>
    <cellStyle name="Moneda 16 2 2 6" xfId="3045" xr:uid="{A04E12D9-28BF-4A39-98AD-81D3B41C5DD3}"/>
    <cellStyle name="Moneda 16 2 2 6 2" xfId="6049" xr:uid="{83228146-EA2C-4E3D-9375-DF3A228FB9C6}"/>
    <cellStyle name="Moneda 16 2 2 6 2 2" xfId="13610" xr:uid="{33EA9982-99C1-4FFC-8ADF-967C5EDFB699}"/>
    <cellStyle name="Moneda 16 2 2 6 3" xfId="7453" xr:uid="{656D8FB9-4B40-499D-B364-45CEC435D806}"/>
    <cellStyle name="Moneda 16 2 2 6 3 2" xfId="14982" xr:uid="{DEDAAC60-4B49-4BB0-BA9D-346A5C953CB4}"/>
    <cellStyle name="Moneda 16 2 2 6 4" xfId="10627" xr:uid="{515CB03E-D3CD-41E3-A575-A424DBA8AA32}"/>
    <cellStyle name="Moneda 16 2 2 7" xfId="3169" xr:uid="{1B6DEEDA-E806-4734-845D-08DD2BACB577}"/>
    <cellStyle name="Moneda 16 2 2 7 2" xfId="6173" xr:uid="{E4A66BF7-7AC8-49EC-9116-5CB8926E1704}"/>
    <cellStyle name="Moneda 16 2 2 7 2 2" xfId="13734" xr:uid="{3A1B6736-15CC-4AAB-ADDC-7305E162784E}"/>
    <cellStyle name="Moneda 16 2 2 7 3" xfId="7577" xr:uid="{F0848360-A51F-4509-BFB5-F5483A221444}"/>
    <cellStyle name="Moneda 16 2 2 7 3 2" xfId="15106" xr:uid="{326EE348-8857-49AD-8F53-3F2AC0095E52}"/>
    <cellStyle name="Moneda 16 2 2 7 4" xfId="10751" xr:uid="{73AD74D6-AD65-4D1E-AE73-CEC56B7D32B6}"/>
    <cellStyle name="Moneda 16 2 2 8" xfId="3294" xr:uid="{E312ABE7-286C-4F35-95A4-81FDE40DDE61}"/>
    <cellStyle name="Moneda 16 2 2 8 2" xfId="6298" xr:uid="{3957DC7B-1891-4BDA-A8D1-08A72D8E8F3E}"/>
    <cellStyle name="Moneda 16 2 2 8 2 2" xfId="13859" xr:uid="{49FF1755-FEB0-46D8-8FBE-C87D5053ED70}"/>
    <cellStyle name="Moneda 16 2 2 8 3" xfId="7702" xr:uid="{3C9BC4F3-7D06-482B-B796-C92936625040}"/>
    <cellStyle name="Moneda 16 2 2 8 3 2" xfId="15231" xr:uid="{71DFB4F6-A91D-4A36-895A-E787A0619D11}"/>
    <cellStyle name="Moneda 16 2 2 8 4" xfId="10876" xr:uid="{2B8426B2-DCAE-46CD-9B88-A0E76929290B}"/>
    <cellStyle name="Moneda 16 2 2 9" xfId="3422" xr:uid="{FA1D0424-AC4A-4EB1-8D0B-C50070B08620}"/>
    <cellStyle name="Moneda 16 2 2 9 2" xfId="6424" xr:uid="{880535FD-5F18-42EF-8609-551B2171E531}"/>
    <cellStyle name="Moneda 16 2 2 9 2 2" xfId="13985" xr:uid="{64B22A0A-F879-4B74-9890-AFA7039A513D}"/>
    <cellStyle name="Moneda 16 2 2 9 3" xfId="7828" xr:uid="{BC28E02B-F81A-4A87-970A-AB3F6944E0AE}"/>
    <cellStyle name="Moneda 16 2 2 9 3 2" xfId="15357" xr:uid="{058A3E2B-9EEF-4CED-8447-63E27669A2D0}"/>
    <cellStyle name="Moneda 16 2 2 9 4" xfId="11002" xr:uid="{6DB62032-308B-48DA-976D-027083C1A4B7}"/>
    <cellStyle name="Moneda 16 2 3" xfId="2495" xr:uid="{318A7ED7-236D-4211-8942-867A9EB113F6}"/>
    <cellStyle name="Moneda 16 2 3 2" xfId="6637" xr:uid="{21159696-DF16-4ECD-B0FF-A032F7429E42}"/>
    <cellStyle name="Moneda 16 2 3 2 2" xfId="8023" xr:uid="{22DEB573-E244-4B1C-891E-831A81F9217B}"/>
    <cellStyle name="Moneda 16 2 3 2 2 2" xfId="15552" xr:uid="{E124477F-321F-4EA1-AB98-E8D9473AD785}"/>
    <cellStyle name="Moneda 16 2 3 2 3" xfId="14180" xr:uid="{487AB7C9-1CC9-46BB-8ABC-B09D9F0A8D86}"/>
    <cellStyle name="Moneda 16 2 3 3" xfId="5501" xr:uid="{DBDE96DC-B1EF-4A98-B972-F527BF56F7F2}"/>
    <cellStyle name="Moneda 16 2 3 3 2" xfId="13062" xr:uid="{92931E39-84A8-4361-94F6-E3312A368DA3}"/>
    <cellStyle name="Moneda 16 2 3 4" xfId="6905" xr:uid="{84D44F10-F8D6-4A3B-80A0-21D6B52A6ED7}"/>
    <cellStyle name="Moneda 16 2 3 4 2" xfId="14434" xr:uid="{8999AB0D-FB7E-4B43-A20C-7A1848632689}"/>
    <cellStyle name="Moneda 16 2 3 5" xfId="10079" xr:uid="{95155835-3BE1-4B6E-8893-15BF87CCFFAE}"/>
    <cellStyle name="Moneda 16 2 4" xfId="2616" xr:uid="{CB1195B6-B469-40AE-839B-A16348A3B550}"/>
    <cellStyle name="Moneda 16 2 4 2" xfId="5621" xr:uid="{2654C34D-7363-4C5B-8818-296B5B81234F}"/>
    <cellStyle name="Moneda 16 2 4 2 2" xfId="13182" xr:uid="{E33A7723-EFAA-4D80-89BF-BFA2B0659EED}"/>
    <cellStyle name="Moneda 16 2 4 3" xfId="7025" xr:uid="{487A6ECA-A07D-4BA7-8DA1-F72B57111C2B}"/>
    <cellStyle name="Moneda 16 2 4 3 2" xfId="14554" xr:uid="{B563C406-D39D-436F-B7E2-CE02DE22EF4D}"/>
    <cellStyle name="Moneda 16 2 4 4" xfId="10199" xr:uid="{5F84FED0-7D76-4649-B922-BA706C9C1692}"/>
    <cellStyle name="Moneda 16 2 5" xfId="2738" xr:uid="{CCB80FF7-24AD-447B-B641-B5222C45073E}"/>
    <cellStyle name="Moneda 16 2 5 2" xfId="5743" xr:uid="{C9A76149-94C6-4181-966D-4636B73045AA}"/>
    <cellStyle name="Moneda 16 2 5 2 2" xfId="13304" xr:uid="{2A2FB87E-FE54-49A9-B511-02680E5308A5}"/>
    <cellStyle name="Moneda 16 2 5 3" xfId="7147" xr:uid="{2FF4D2CF-00C7-47FD-AFA3-6A3AB27B93F1}"/>
    <cellStyle name="Moneda 16 2 5 3 2" xfId="14676" xr:uid="{05A0F860-6565-46D2-B7BA-92A38F148081}"/>
    <cellStyle name="Moneda 16 2 5 4" xfId="10321" xr:uid="{74D5EB24-CCEE-4DCB-869C-8BDE6D713D38}"/>
    <cellStyle name="Moneda 16 2 6" xfId="2863" xr:uid="{84FD8267-C707-4C6B-AE36-16BC1F809661}"/>
    <cellStyle name="Moneda 16 2 6 2" xfId="5867" xr:uid="{63BC6E4E-FA93-4FBD-8F5C-B5263DC2B2D6}"/>
    <cellStyle name="Moneda 16 2 6 2 2" xfId="13428" xr:uid="{1FF98BAF-E377-46ED-A5BF-14D3893AAD13}"/>
    <cellStyle name="Moneda 16 2 6 3" xfId="7271" xr:uid="{4FB377B5-0A9E-4CC3-B021-737D3AD31D31}"/>
    <cellStyle name="Moneda 16 2 6 3 2" xfId="14800" xr:uid="{A4319D80-28D3-4C62-9F18-8AFAA7C42587}"/>
    <cellStyle name="Moneda 16 2 6 4" xfId="10445" xr:uid="{0074A450-51A6-4977-AA29-ECDCFE1A59F8}"/>
    <cellStyle name="Moneda 16 2 7" xfId="2987" xr:uid="{6500CC0C-6F50-4D59-89C8-823D39FCEB7F}"/>
    <cellStyle name="Moneda 16 2 7 2" xfId="5991" xr:uid="{CC11474C-8A6C-4DB7-8725-D734955332B9}"/>
    <cellStyle name="Moneda 16 2 7 2 2" xfId="13552" xr:uid="{32FE23E9-3894-4665-8AF5-445A0597D3EB}"/>
    <cellStyle name="Moneda 16 2 7 3" xfId="7395" xr:uid="{7B18060A-AFC9-4C9E-BCA7-D49A439250AC}"/>
    <cellStyle name="Moneda 16 2 7 3 2" xfId="14924" xr:uid="{96317241-DC67-4EB1-86E6-A5C333C201A9}"/>
    <cellStyle name="Moneda 16 2 7 4" xfId="10569" xr:uid="{57DBF697-A5FE-4EB3-8ACA-EFBE2BFC737C}"/>
    <cellStyle name="Moneda 16 2 8" xfId="3111" xr:uid="{9FD32E37-087F-47E0-AF51-24DBE66ADB74}"/>
    <cellStyle name="Moneda 16 2 8 2" xfId="6115" xr:uid="{9933664E-7BC8-41D6-8B67-5539CE040D37}"/>
    <cellStyle name="Moneda 16 2 8 2 2" xfId="13676" xr:uid="{0C3A150A-7CF9-4C72-B8CF-A50CCEDAF17A}"/>
    <cellStyle name="Moneda 16 2 8 3" xfId="7519" xr:uid="{F9B0BE03-0694-41CB-9CDF-7715798F5F16}"/>
    <cellStyle name="Moneda 16 2 8 3 2" xfId="15048" xr:uid="{7E45633C-C289-4FCC-ACC1-30295A4E2AB9}"/>
    <cellStyle name="Moneda 16 2 8 4" xfId="10693" xr:uid="{3D6C0C6F-102D-4334-A8F8-E34960A40515}"/>
    <cellStyle name="Moneda 16 2 9" xfId="3236" xr:uid="{5486EF35-B5F4-4FE7-8621-4D084E6F7CF1}"/>
    <cellStyle name="Moneda 16 2 9 2" xfId="6240" xr:uid="{3ADA835C-738B-4D1C-ABC8-D2266369223B}"/>
    <cellStyle name="Moneda 16 2 9 2 2" xfId="13801" xr:uid="{DF5FF6A6-1EB5-47FB-8078-1304538CE350}"/>
    <cellStyle name="Moneda 16 2 9 3" xfId="7644" xr:uid="{5023EBDB-EE94-44DC-8D38-049EB1632086}"/>
    <cellStyle name="Moneda 16 2 9 3 2" xfId="15173" xr:uid="{FDE9AD3F-8277-40CF-838D-D72BF1015242}"/>
    <cellStyle name="Moneda 16 2 9 4" xfId="10818" xr:uid="{EC8D51A8-7A85-4CC7-883F-A46DC2605761}"/>
    <cellStyle name="Moneda 16 3" xfId="1453" xr:uid="{D3F085AC-57C4-4BCD-B45C-BE75FCDE0544}"/>
    <cellStyle name="Moneda 16 3 10" xfId="2399" xr:uid="{A4A12FEB-A170-4D6A-83D1-8779615D953A}"/>
    <cellStyle name="Moneda 16 3 10 2" xfId="6530" xr:uid="{34C776E2-9B05-411E-A2CA-D81EC7507501}"/>
    <cellStyle name="Moneda 16 3 10 2 2" xfId="14086" xr:uid="{EB4BBF26-BC97-47FB-9220-E41907A533E9}"/>
    <cellStyle name="Moneda 16 3 10 3" xfId="7929" xr:uid="{85D9A05E-2D37-425D-AEAB-DCF4DA093E4E}"/>
    <cellStyle name="Moneda 16 3 10 3 2" xfId="15458" xr:uid="{50DE3F46-3340-40CF-BD1E-A2AD28927E57}"/>
    <cellStyle name="Moneda 16 3 10 4" xfId="9987" xr:uid="{7DC4B850-5116-4EF0-9249-98881847DFC7}"/>
    <cellStyle name="Moneda 16 3 11" xfId="4413" xr:uid="{A2E0C436-425E-4D18-BBD6-18479532FD45}"/>
    <cellStyle name="Moneda 16 3 11 2" xfId="11981" xr:uid="{BC892B45-B1E1-401F-B654-2EFA7D5AD50B}"/>
    <cellStyle name="Moneda 16 3 12" xfId="5409" xr:uid="{96316661-AA07-44D9-9436-DCA21AB05896}"/>
    <cellStyle name="Moneda 16 3 12 2" xfId="12970" xr:uid="{BFD3EA30-A136-41A3-8845-4D88CED9D7A9}"/>
    <cellStyle name="Moneda 16 3 13" xfId="6813" xr:uid="{844E2EEC-A22B-4354-9E07-9C8D02930E49}"/>
    <cellStyle name="Moneda 16 3 13 2" xfId="14342" xr:uid="{D5F9833D-9688-404A-987D-BB09986DC56C}"/>
    <cellStyle name="Moneda 16 3 14" xfId="9061" xr:uid="{562E0B7A-8333-4C1D-A7FC-A5360BFDA9BD}"/>
    <cellStyle name="Moneda 16 3 2" xfId="2523" xr:uid="{F04E9233-4F8A-4313-A2EB-F85A4FEE91EE}"/>
    <cellStyle name="Moneda 16 3 2 2" xfId="6665" xr:uid="{5E3C64BF-B1C3-4DB8-BFE4-FBE50C7316CC}"/>
    <cellStyle name="Moneda 16 3 2 2 2" xfId="8051" xr:uid="{FC4AF8A4-0EBF-46F2-B8D9-D9CB5BF65E4E}"/>
    <cellStyle name="Moneda 16 3 2 2 2 2" xfId="15580" xr:uid="{4BB59D25-FA98-4780-BF90-9C366D2DF882}"/>
    <cellStyle name="Moneda 16 3 2 2 3" xfId="14208" xr:uid="{121A6E55-9EE4-4F83-9E42-37DF7E9BD275}"/>
    <cellStyle name="Moneda 16 3 2 3" xfId="5529" xr:uid="{1D938106-5BF8-416A-8537-72B7CD4A6D9A}"/>
    <cellStyle name="Moneda 16 3 2 3 2" xfId="13090" xr:uid="{F40F848C-C9E2-4188-8A86-58F09661CEF9}"/>
    <cellStyle name="Moneda 16 3 2 4" xfId="6933" xr:uid="{016E3495-DDA2-4A3A-A0CD-4C311029C296}"/>
    <cellStyle name="Moneda 16 3 2 4 2" xfId="14462" xr:uid="{F428C530-FE6D-4717-B9B4-17C2913F68B8}"/>
    <cellStyle name="Moneda 16 3 2 5" xfId="10107" xr:uid="{A142E2DD-FAF3-4502-82D7-EA87A2BE4A69}"/>
    <cellStyle name="Moneda 16 3 3" xfId="2644" xr:uid="{ED453F56-4A9C-4196-AA75-A15F1DFC6570}"/>
    <cellStyle name="Moneda 16 3 3 2" xfId="5649" xr:uid="{3E23541C-3D15-459D-9037-9CA41DCF34D8}"/>
    <cellStyle name="Moneda 16 3 3 2 2" xfId="13210" xr:uid="{1CFF1109-D653-410C-92B6-9432D2B074B7}"/>
    <cellStyle name="Moneda 16 3 3 3" xfId="7053" xr:uid="{A284277B-3646-42DA-B86B-C1B7E8AC7497}"/>
    <cellStyle name="Moneda 16 3 3 3 2" xfId="14582" xr:uid="{1FE274EC-D280-47B1-AB5A-1FEA943A9887}"/>
    <cellStyle name="Moneda 16 3 3 4" xfId="10227" xr:uid="{75FD2D9B-4C85-4D0D-A90D-2809FDE178D0}"/>
    <cellStyle name="Moneda 16 3 4" xfId="2766" xr:uid="{1D1F8057-0ECD-4B5F-8512-98190EC0A384}"/>
    <cellStyle name="Moneda 16 3 4 2" xfId="5771" xr:uid="{2B416E7E-DD01-4E23-8D9D-6B6ADC5E0BA9}"/>
    <cellStyle name="Moneda 16 3 4 2 2" xfId="13332" xr:uid="{81A6E959-810D-4E32-98F6-1B145A787A01}"/>
    <cellStyle name="Moneda 16 3 4 3" xfId="7175" xr:uid="{15907574-EA09-4285-AA21-7B1D198ECD16}"/>
    <cellStyle name="Moneda 16 3 4 3 2" xfId="14704" xr:uid="{94E099E9-F17B-4315-BC3A-C86E03E73FFE}"/>
    <cellStyle name="Moneda 16 3 4 4" xfId="10349" xr:uid="{CD4F73D7-0238-4E73-BB81-0E696CBBEA66}"/>
    <cellStyle name="Moneda 16 3 5" xfId="2891" xr:uid="{83046B25-72F1-4888-8BC9-2300817860D6}"/>
    <cellStyle name="Moneda 16 3 5 2" xfId="5895" xr:uid="{2A2F16F9-0C5D-47F5-BBAF-E1470039BC91}"/>
    <cellStyle name="Moneda 16 3 5 2 2" xfId="13456" xr:uid="{B7B7F6E4-697C-4746-8D0A-53C4BA14B1AA}"/>
    <cellStyle name="Moneda 16 3 5 3" xfId="7299" xr:uid="{7F057CEE-CC4D-4A75-9BED-84A41FE63136}"/>
    <cellStyle name="Moneda 16 3 5 3 2" xfId="14828" xr:uid="{9258F954-7D94-49CC-85E1-0D8D564ADAEB}"/>
    <cellStyle name="Moneda 16 3 5 4" xfId="10473" xr:uid="{1CD67CF6-FBB4-4278-B288-3E32330BF623}"/>
    <cellStyle name="Moneda 16 3 6" xfId="3015" xr:uid="{41A0E117-6A73-485A-90C3-556576D2CBBD}"/>
    <cellStyle name="Moneda 16 3 6 2" xfId="6019" xr:uid="{5E4C0AA3-2035-4E60-BD45-2A7F83A7A5A4}"/>
    <cellStyle name="Moneda 16 3 6 2 2" xfId="13580" xr:uid="{B40FE25C-6249-4BAC-88D7-373D0B23667E}"/>
    <cellStyle name="Moneda 16 3 6 3" xfId="7423" xr:uid="{9F37A2D5-EC8A-4994-A718-708C179D2C14}"/>
    <cellStyle name="Moneda 16 3 6 3 2" xfId="14952" xr:uid="{D399BAAB-DFEB-4765-93FF-9BAE9DFEDE95}"/>
    <cellStyle name="Moneda 16 3 6 4" xfId="10597" xr:uid="{541D877C-1254-424B-916B-6931D3759584}"/>
    <cellStyle name="Moneda 16 3 7" xfId="3139" xr:uid="{23B16F1D-5CD0-4109-B252-508E9B2C655B}"/>
    <cellStyle name="Moneda 16 3 7 2" xfId="6143" xr:uid="{9CD4B5E8-1511-4832-8CEF-AE3A7220453C}"/>
    <cellStyle name="Moneda 16 3 7 2 2" xfId="13704" xr:uid="{008A0AEA-D605-45BF-BB9F-22EFDD50E5D5}"/>
    <cellStyle name="Moneda 16 3 7 3" xfId="7547" xr:uid="{679090D9-9F8D-4C81-B5A8-A57620C8AA75}"/>
    <cellStyle name="Moneda 16 3 7 3 2" xfId="15076" xr:uid="{6B7E4845-A235-4DF2-92B9-477E82337C84}"/>
    <cellStyle name="Moneda 16 3 7 4" xfId="10721" xr:uid="{E63C7235-D542-45C4-B1F7-858A3E1875E8}"/>
    <cellStyle name="Moneda 16 3 8" xfId="3264" xr:uid="{71FC8E14-A76B-4599-BDC4-C4C6D1E71500}"/>
    <cellStyle name="Moneda 16 3 8 2" xfId="6268" xr:uid="{9215DDC6-0DFF-4F05-832C-BA08CCC0C6D2}"/>
    <cellStyle name="Moneda 16 3 8 2 2" xfId="13829" xr:uid="{55C719A7-E9D1-4E1E-91F4-F25134DB0FEB}"/>
    <cellStyle name="Moneda 16 3 8 3" xfId="7672" xr:uid="{7B0E7B4C-0B0D-47C9-B4E8-6117017EA1B5}"/>
    <cellStyle name="Moneda 16 3 8 3 2" xfId="15201" xr:uid="{F8FEB4AA-083A-49A4-809E-6C7C74189BF3}"/>
    <cellStyle name="Moneda 16 3 8 4" xfId="10846" xr:uid="{75B44192-1B24-4ECC-858E-F43CD3A746B9}"/>
    <cellStyle name="Moneda 16 3 9" xfId="3392" xr:uid="{D546325D-144E-42E1-B19C-203718686269}"/>
    <cellStyle name="Moneda 16 3 9 2" xfId="6394" xr:uid="{9A11FD59-3660-428B-A1E1-6DBBB3F6F363}"/>
    <cellStyle name="Moneda 16 3 9 2 2" xfId="13955" xr:uid="{B804B6AA-A720-4E9C-9ECA-522CDDBA5FC1}"/>
    <cellStyle name="Moneda 16 3 9 3" xfId="7798" xr:uid="{E92BE93F-F453-4711-9335-EDBC9C1C8A5A}"/>
    <cellStyle name="Moneda 16 3 9 3 2" xfId="15327" xr:uid="{23A3EA8B-406C-4E7D-9918-64312AB082E6}"/>
    <cellStyle name="Moneda 16 3 9 4" xfId="10972" xr:uid="{C7C8C355-D80A-4792-9CAA-422B6F77F4EB}"/>
    <cellStyle name="Moneda 16 4" xfId="1832" xr:uid="{FE7306EB-76C3-4DB8-8FD0-43DBFB69F5F7}"/>
    <cellStyle name="Moneda 16 4 2" xfId="2464" xr:uid="{BD029EF6-4738-4E3E-858C-09687A465C79}"/>
    <cellStyle name="Moneda 16 4 2 2" xfId="6607" xr:uid="{DBADCB25-1B81-431C-B2A7-E02E91559693}"/>
    <cellStyle name="Moneda 16 4 2 2 2" xfId="14150" xr:uid="{0E0E03D8-D4FF-45B9-9119-4FB8A38449D6}"/>
    <cellStyle name="Moneda 16 4 2 3" xfId="7993" xr:uid="{1ABCB019-6AAA-4F42-ABF7-860BAD937E07}"/>
    <cellStyle name="Moneda 16 4 2 3 2" xfId="15522" xr:uid="{91AA4529-FE7F-4CC2-BCBC-6D374E5BAF53}"/>
    <cellStyle name="Moneda 16 4 2 4" xfId="10048" xr:uid="{ACBEABEC-E3E8-4EBC-8C5C-1CC3B8C0A608}"/>
    <cellStyle name="Moneda 16 4 3" xfId="4791" xr:uid="{4FB14D0B-7E33-4A70-B134-D70A87BD15B9}"/>
    <cellStyle name="Moneda 16 4 3 2" xfId="12359" xr:uid="{DC2C21D1-3638-404D-A9A6-9B56C2403BB4}"/>
    <cellStyle name="Moneda 16 4 4" xfId="5470" xr:uid="{C7B53216-A577-4814-81FA-DE77A67D5388}"/>
    <cellStyle name="Moneda 16 4 4 2" xfId="13031" xr:uid="{2E5E42F7-8873-4CD7-BC18-B9D760EE34C4}"/>
    <cellStyle name="Moneda 16 4 5" xfId="6874" xr:uid="{3B5AA61D-4FB8-47CB-8D88-62E0C230AA78}"/>
    <cellStyle name="Moneda 16 4 5 2" xfId="14403" xr:uid="{EB6A9911-AB24-4FBE-8696-C3B668738C43}"/>
    <cellStyle name="Moneda 16 4 6" xfId="9439" xr:uid="{DD47225F-E10C-4038-8646-E1818C46FDC2}"/>
    <cellStyle name="Moneda 16 5" xfId="2586" xr:uid="{C6870AAA-C487-4728-990B-C1BEC265A7D0}"/>
    <cellStyle name="Moneda 16 5 2" xfId="5591" xr:uid="{916ED5B3-6E47-4CB5-BCEE-649902A7DB05}"/>
    <cellStyle name="Moneda 16 5 2 2" xfId="13152" xr:uid="{752923DB-7974-4F75-B7E0-9C281594DEA6}"/>
    <cellStyle name="Moneda 16 5 3" xfId="6995" xr:uid="{19D5D962-A04B-4E1F-A35A-757710C2266C}"/>
    <cellStyle name="Moneda 16 5 3 2" xfId="14524" xr:uid="{F923AAFA-2AA3-447D-8803-11CEB9E127A0}"/>
    <cellStyle name="Moneda 16 5 4" xfId="10169" xr:uid="{57C4E32B-615B-4726-B043-915F3CB753AA}"/>
    <cellStyle name="Moneda 16 6" xfId="2708" xr:uid="{642BDD83-75C1-4214-8878-BF3B9C44F9D1}"/>
    <cellStyle name="Moneda 16 6 2" xfId="5713" xr:uid="{8E6F1697-E02A-40A2-B250-B308A086E705}"/>
    <cellStyle name="Moneda 16 6 2 2" xfId="13274" xr:uid="{42D274ED-E491-4ECD-B884-325DDAD1D1A8}"/>
    <cellStyle name="Moneda 16 6 3" xfId="7117" xr:uid="{04189FB4-03A3-4193-9A89-A34084DFCF10}"/>
    <cellStyle name="Moneda 16 6 3 2" xfId="14646" xr:uid="{15CF6CDB-C44E-4061-B2DF-418C52063A12}"/>
    <cellStyle name="Moneda 16 6 4" xfId="10291" xr:uid="{CD113CDD-F7AE-48A9-829A-28B986BD6A47}"/>
    <cellStyle name="Moneda 16 7" xfId="2833" xr:uid="{727A971C-04BB-4DE0-BB3B-9BF3101CB1FA}"/>
    <cellStyle name="Moneda 16 7 2" xfId="5837" xr:uid="{919E03EC-304A-43C2-965E-1739920CB8E2}"/>
    <cellStyle name="Moneda 16 7 2 2" xfId="13398" xr:uid="{D360236C-042C-45B5-AAC0-E4F1F30E77D3}"/>
    <cellStyle name="Moneda 16 7 3" xfId="7241" xr:uid="{3C9369D9-A62D-4ACD-B7CD-DE283F70D2EE}"/>
    <cellStyle name="Moneda 16 7 3 2" xfId="14770" xr:uid="{F424D42B-F3CD-4750-9F06-8709E93E6484}"/>
    <cellStyle name="Moneda 16 7 4" xfId="10415" xr:uid="{191050CA-2248-4A41-9116-5188007BFF18}"/>
    <cellStyle name="Moneda 16 8" xfId="2957" xr:uid="{6C9F93E5-0EA0-498A-BFC9-526B3ED94E79}"/>
    <cellStyle name="Moneda 16 8 2" xfId="5961" xr:uid="{EC8148EA-1A79-4BCF-BAFE-5A081CAD9358}"/>
    <cellStyle name="Moneda 16 8 2 2" xfId="13522" xr:uid="{A6060E4F-588A-4AC2-937C-56AF7914298A}"/>
    <cellStyle name="Moneda 16 8 3" xfId="7365" xr:uid="{4C19FA3A-A0D0-47D6-9057-3CA953F81A49}"/>
    <cellStyle name="Moneda 16 8 3 2" xfId="14894" xr:uid="{2F8A9623-4D91-4B83-9CCD-5FB31FFAA866}"/>
    <cellStyle name="Moneda 16 8 4" xfId="10539" xr:uid="{21401C54-077D-4EDF-B09A-904ED6FF84C4}"/>
    <cellStyle name="Moneda 16 9" xfId="3081" xr:uid="{8757B49F-D9ED-4DFC-ABCE-DDF4CDA1DEE3}"/>
    <cellStyle name="Moneda 16 9 2" xfId="6085" xr:uid="{0CDAEB1A-D0B1-4F59-859C-FC715C593250}"/>
    <cellStyle name="Moneda 16 9 2 2" xfId="13646" xr:uid="{01D1061E-CC70-45A3-BFC3-19BABD639A5B}"/>
    <cellStyle name="Moneda 16 9 3" xfId="7489" xr:uid="{78DE56BB-C0D9-4A65-B22B-6620188CC01E}"/>
    <cellStyle name="Moneda 16 9 3 2" xfId="15018" xr:uid="{4B782459-DC79-423D-8A75-A4C742F24548}"/>
    <cellStyle name="Moneda 16 9 4" xfId="10663" xr:uid="{31C6ECB8-BE48-46A5-B62F-FA6362CC9A33}"/>
    <cellStyle name="Moneda 160" xfId="665" xr:uid="{E18D60C6-8464-4608-B01D-665F9D338B51}"/>
    <cellStyle name="Moneda 160 2" xfId="1377" xr:uid="{107D9D7D-D3E4-475D-B342-53F09BA22955}"/>
    <cellStyle name="Moneda 160 2 2" xfId="4337" xr:uid="{BA480BBF-E760-4578-8941-23BC1B02D41F}"/>
    <cellStyle name="Moneda 160 2 2 2" xfId="11905" xr:uid="{F86DEEBD-8531-4E94-87E8-D374AC8A3DDB}"/>
    <cellStyle name="Moneda 160 2 3" xfId="8985" xr:uid="{F153B131-4520-4A19-9A8C-6A5083DDC008}"/>
    <cellStyle name="Moneda 160 3" xfId="1741" xr:uid="{9CE41558-E680-4D11-B810-81332AFFA05B}"/>
    <cellStyle name="Moneda 160 3 2" xfId="4701" xr:uid="{5061854B-59F8-48F4-A2C5-3623E70DAD26}"/>
    <cellStyle name="Moneda 160 3 2 2" xfId="12269" xr:uid="{6C2E6DC9-E776-44BE-87C2-6DC844396C18}"/>
    <cellStyle name="Moneda 160 3 3" xfId="9349" xr:uid="{5F174B59-9331-41E4-9711-86842245AE8A}"/>
    <cellStyle name="Moneda 160 4" xfId="2120" xr:uid="{8EB9EBB4-E756-4C36-92A7-A4D530833C0F}"/>
    <cellStyle name="Moneda 160 4 2" xfId="5079" xr:uid="{28B1768B-6955-4B38-BCB8-133ABC81A411}"/>
    <cellStyle name="Moneda 160 4 2 2" xfId="12647" xr:uid="{5B484FCD-1E6C-4D04-A80C-88E5920FC8EC}"/>
    <cellStyle name="Moneda 160 4 3" xfId="9727" xr:uid="{BA2E0E54-A098-4985-9AB0-6E16534F2224}"/>
    <cellStyle name="Moneda 160 5" xfId="3806" xr:uid="{77E91E4A-60B9-4704-87C6-E24B5532D96E}"/>
    <cellStyle name="Moneda 160 5 2" xfId="11374" xr:uid="{D1EFB567-BD0D-480B-9CCD-2E83E7095769}"/>
    <cellStyle name="Moneda 160 6" xfId="8454" xr:uid="{93685911-7D4D-4209-B7D6-C2DDD08CD52E}"/>
    <cellStyle name="Moneda 161" xfId="668" xr:uid="{2F1ED9EE-8D87-4ACB-A257-C8B98973E986}"/>
    <cellStyle name="Moneda 161 2" xfId="1379" xr:uid="{3545F322-D3BC-4FC2-BCDB-0E8ED5B5FE68}"/>
    <cellStyle name="Moneda 161 2 2" xfId="4339" xr:uid="{01201BCD-8AE4-487C-834B-614BBA2DCA1A}"/>
    <cellStyle name="Moneda 161 2 2 2" xfId="11907" xr:uid="{6B9430AA-24ED-4711-B9D0-0011E3025E41}"/>
    <cellStyle name="Moneda 161 2 3" xfId="8987" xr:uid="{AED0A9D1-F8D8-44E2-8A60-7AC06045BBDA}"/>
    <cellStyle name="Moneda 161 3" xfId="1743" xr:uid="{604F0CAF-BA04-4463-A0A9-9E57D26C7774}"/>
    <cellStyle name="Moneda 161 3 2" xfId="4703" xr:uid="{AAA26534-A046-4DAE-8133-885EADE583C5}"/>
    <cellStyle name="Moneda 161 3 2 2" xfId="12271" xr:uid="{7D2AC02F-01E5-4C53-8D6C-4B9FCC1BEBB0}"/>
    <cellStyle name="Moneda 161 3 3" xfId="9351" xr:uid="{5EEBD32E-BCBB-4905-A95A-1CDDB9363E00}"/>
    <cellStyle name="Moneda 161 4" xfId="2122" xr:uid="{AE53BA9F-0D55-40F1-A793-EBFD7266CEC0}"/>
    <cellStyle name="Moneda 161 4 2" xfId="5081" xr:uid="{D0A87B25-8E05-44FE-AA6B-D091671225F9}"/>
    <cellStyle name="Moneda 161 4 2 2" xfId="12649" xr:uid="{6E07856A-87FB-443B-ADB2-81149A710CAB}"/>
    <cellStyle name="Moneda 161 4 3" xfId="9729" xr:uid="{431EF571-E669-481B-9901-4C026D417FC4}"/>
    <cellStyle name="Moneda 161 5" xfId="3808" xr:uid="{B75E1363-6443-48CE-A5B6-71935F3B62B4}"/>
    <cellStyle name="Moneda 161 5 2" xfId="11376" xr:uid="{5FCCC51D-4850-4C18-A379-AE2F8A67E868}"/>
    <cellStyle name="Moneda 161 6" xfId="8456" xr:uid="{72597E11-B4DA-4945-BC32-80E00759D82B}"/>
    <cellStyle name="Moneda 162" xfId="671" xr:uid="{78288AA5-B913-4FF1-B2B3-90D99DBE65A2}"/>
    <cellStyle name="Moneda 162 2" xfId="1018" xr:uid="{EF3A96F4-241D-4096-8B79-41657B646484}"/>
    <cellStyle name="Moneda 162 2 2" xfId="4001" xr:uid="{3BAAEA7F-D4EC-43A8-8EA8-04ED1EEADE7B}"/>
    <cellStyle name="Moneda 162 2 2 2" xfId="11569" xr:uid="{0277DBB0-10D4-4808-9708-96B22D4DB3AE}"/>
    <cellStyle name="Moneda 162 2 3" xfId="8649" xr:uid="{5E758988-AFD6-4E98-A90F-E14C955E6FAF}"/>
    <cellStyle name="Moneda 162 3" xfId="1381" xr:uid="{27BD155A-D06E-431D-B7E3-7A4A4D31F1D4}"/>
    <cellStyle name="Moneda 162 3 2" xfId="4341" xr:uid="{222CA650-DADF-427A-A0DF-46BA0739163C}"/>
    <cellStyle name="Moneda 162 3 2 2" xfId="11909" xr:uid="{F31C686D-DB3B-4A29-8662-DC0E34A30A6A}"/>
    <cellStyle name="Moneda 162 3 3" xfId="8989" xr:uid="{DABB80A3-7D91-4F70-94B6-6677EBE50DBD}"/>
    <cellStyle name="Moneda 162 4" xfId="1745" xr:uid="{4E1A3D17-993F-46E6-8123-A30FE0F7D792}"/>
    <cellStyle name="Moneda 162 4 2" xfId="4705" xr:uid="{A1AFA0D9-4DBF-425D-8EED-BA7BBDB96B44}"/>
    <cellStyle name="Moneda 162 4 2 2" xfId="12273" xr:uid="{2BF4EDC4-A4A0-487B-8CDE-8C857A61979B}"/>
    <cellStyle name="Moneda 162 4 3" xfId="9353" xr:uid="{E5D3DBBE-FB39-418D-8CE2-17182DD8794C}"/>
    <cellStyle name="Moneda 162 5" xfId="2124" xr:uid="{C898DD03-0AF9-44A0-B36B-EFEE8BFD4415}"/>
    <cellStyle name="Moneda 162 5 2" xfId="5083" xr:uid="{5E106694-DAC0-4D6F-8196-CB1A7213AED6}"/>
    <cellStyle name="Moneda 162 5 2 2" xfId="12651" xr:uid="{9F66A245-2D29-4811-8DB5-DF69DD600F91}"/>
    <cellStyle name="Moneda 162 5 3" xfId="9731" xr:uid="{71855731-832D-4A9B-9F4D-48218571EF39}"/>
    <cellStyle name="Moneda 162 6" xfId="3810" xr:uid="{607CA9B3-F259-473F-B0D3-7332F25595ED}"/>
    <cellStyle name="Moneda 162 6 2" xfId="11378" xr:uid="{6FB8CD8A-3617-4B1A-BA1C-9DE56A2C28A3}"/>
    <cellStyle name="Moneda 162 7" xfId="8458" xr:uid="{63A0ED7D-EFBC-4A3A-B634-EC53D7B235F9}"/>
    <cellStyle name="Moneda 163" xfId="674" xr:uid="{7CF873EC-2570-4366-9482-D3F620D9E93B}"/>
    <cellStyle name="Moneda 163 2" xfId="1383" xr:uid="{123AC96A-14D9-486C-B7DD-91EF7248DC1A}"/>
    <cellStyle name="Moneda 163 2 2" xfId="4343" xr:uid="{EFA4BF5D-6501-45F9-9831-06BBBA3D81C9}"/>
    <cellStyle name="Moneda 163 2 2 2" xfId="11911" xr:uid="{067BFE1A-11D8-4AA4-B11A-3514E109F8DF}"/>
    <cellStyle name="Moneda 163 2 3" xfId="8991" xr:uid="{CCAB256D-03FA-4EA1-9985-77EC57777300}"/>
    <cellStyle name="Moneda 163 3" xfId="1747" xr:uid="{CE889F47-CD8A-441D-AF66-75EE576397FD}"/>
    <cellStyle name="Moneda 163 3 2" xfId="4707" xr:uid="{4568E0AA-A308-4738-B707-46EE01D97587}"/>
    <cellStyle name="Moneda 163 3 2 2" xfId="12275" xr:uid="{581CFD22-7B2B-4A02-B1FF-8233C88838E7}"/>
    <cellStyle name="Moneda 163 3 3" xfId="9355" xr:uid="{5BFBD7E5-5FED-49C3-B3BC-DC65EE7E9813}"/>
    <cellStyle name="Moneda 163 4" xfId="2126" xr:uid="{C8936BEB-FA8C-4734-9CA3-4F9696F4FCF1}"/>
    <cellStyle name="Moneda 163 4 2" xfId="5085" xr:uid="{5AD33461-43F2-4F35-98BF-0DBC47488EC0}"/>
    <cellStyle name="Moneda 163 4 2 2" xfId="12653" xr:uid="{6DCE78AE-7063-44EA-8635-097E6D2F4DD3}"/>
    <cellStyle name="Moneda 163 4 3" xfId="9733" xr:uid="{B72B4102-ADDF-4F8B-ADAD-8E5A9A0FD14D}"/>
    <cellStyle name="Moneda 163 5" xfId="3812" xr:uid="{C62A1C3F-50AE-451D-A991-9046E97906B3}"/>
    <cellStyle name="Moneda 163 5 2" xfId="11380" xr:uid="{F6F42DFB-AC75-4198-AA92-DB9B9BFB7576}"/>
    <cellStyle name="Moneda 163 6" xfId="8460" xr:uid="{D8353C24-8EAB-4C9F-88A2-425C6FA3C304}"/>
    <cellStyle name="Moneda 164" xfId="677" xr:uid="{5E112FCB-E0FB-4FE6-9743-8DA660C86F05}"/>
    <cellStyle name="Moneda 164 2" xfId="1385" xr:uid="{A83DBE98-04F6-4772-8295-C98D0183A7D6}"/>
    <cellStyle name="Moneda 164 2 2" xfId="4345" xr:uid="{BA06087A-AFCA-4D84-A185-C7C8E614B9BB}"/>
    <cellStyle name="Moneda 164 2 2 2" xfId="11913" xr:uid="{06B85848-0DCA-46E6-9780-447CBD6BE159}"/>
    <cellStyle name="Moneda 164 2 3" xfId="8993" xr:uid="{A244C18A-3C83-47C3-928A-DC3C4176998D}"/>
    <cellStyle name="Moneda 164 3" xfId="1749" xr:uid="{92921DF4-DD4A-4489-84A2-752743269419}"/>
    <cellStyle name="Moneda 164 3 2" xfId="4709" xr:uid="{4AD01215-373E-4D92-AB55-F6CCAC4C63E2}"/>
    <cellStyle name="Moneda 164 3 2 2" xfId="12277" xr:uid="{8466E623-EA4D-4EFB-9B8D-B73011C5BBF1}"/>
    <cellStyle name="Moneda 164 3 3" xfId="9357" xr:uid="{F3CAA577-6866-46A6-9B64-3852ADA38C44}"/>
    <cellStyle name="Moneda 164 4" xfId="2128" xr:uid="{C57FA2C1-680B-401F-B838-B57F0EF47212}"/>
    <cellStyle name="Moneda 164 4 2" xfId="5087" xr:uid="{507102CC-3C03-403E-BF17-EED030B73124}"/>
    <cellStyle name="Moneda 164 4 2 2" xfId="12655" xr:uid="{0AE674AE-E627-4828-B0B4-84549D85153E}"/>
    <cellStyle name="Moneda 164 4 3" xfId="9735" xr:uid="{9878641E-DA7C-479B-AA3B-054A0E36BEC8}"/>
    <cellStyle name="Moneda 164 5" xfId="3814" xr:uid="{C0AFED37-57C8-4AB3-BAC3-1F6507CE9838}"/>
    <cellStyle name="Moneda 164 5 2" xfId="11382" xr:uid="{BC8E4E67-4C8C-453F-B8F7-90D0190F6A73}"/>
    <cellStyle name="Moneda 164 6" xfId="8462" xr:uid="{9F9A576A-23A2-4CE0-A7AD-D01BE6B299D4}"/>
    <cellStyle name="Moneda 165" xfId="680" xr:uid="{193A0000-025E-45D4-967B-D71DAB91AD7D}"/>
    <cellStyle name="Moneda 165 2" xfId="1387" xr:uid="{B1C480D0-0A87-4F77-9BE0-6F0219CE4B93}"/>
    <cellStyle name="Moneda 165 2 2" xfId="4347" xr:uid="{CA569766-07C2-41FE-94EB-85549772EE8D}"/>
    <cellStyle name="Moneda 165 2 2 2" xfId="11915" xr:uid="{F87B37AE-1E17-42B5-9CB5-81BC0BD6DB1F}"/>
    <cellStyle name="Moneda 165 2 3" xfId="8995" xr:uid="{3ED0E48F-F2E9-4A2C-B255-F0E6B24C4D69}"/>
    <cellStyle name="Moneda 165 3" xfId="1751" xr:uid="{31CF9E93-12F1-4E91-8346-FC2A1B85AD77}"/>
    <cellStyle name="Moneda 165 3 2" xfId="4711" xr:uid="{68B80C17-716D-4B50-95B3-E31481204B61}"/>
    <cellStyle name="Moneda 165 3 2 2" xfId="12279" xr:uid="{EC539CDC-4235-491D-B367-9C684AC09ABD}"/>
    <cellStyle name="Moneda 165 3 3" xfId="9359" xr:uid="{34E23745-6F63-4E94-A092-310268F0CF8F}"/>
    <cellStyle name="Moneda 165 4" xfId="2130" xr:uid="{193A1959-6F6A-4F5A-8F5E-44B3771C8628}"/>
    <cellStyle name="Moneda 165 4 2" xfId="5089" xr:uid="{B66EE30F-2A85-448A-9341-5B0649962915}"/>
    <cellStyle name="Moneda 165 4 2 2" xfId="12657" xr:uid="{0A04AD47-29CF-4D78-85BB-EF8F0084493F}"/>
    <cellStyle name="Moneda 165 4 3" xfId="9737" xr:uid="{1909DFFC-0AF3-4FBC-9313-0A31213CD4EB}"/>
    <cellStyle name="Moneda 165 5" xfId="3816" xr:uid="{026A1544-DA57-44C6-BF56-F30A0F530445}"/>
    <cellStyle name="Moneda 165 5 2" xfId="11384" xr:uid="{F0F6DA22-B944-4EAE-918C-434391E832B0}"/>
    <cellStyle name="Moneda 165 6" xfId="8464" xr:uid="{E2C1C9CA-62B2-4514-BE7B-91D155D78706}"/>
    <cellStyle name="Moneda 166" xfId="683" xr:uid="{675722D0-1A52-4D5E-B5DB-AF6BA8B846BA}"/>
    <cellStyle name="Moneda 166 2" xfId="1389" xr:uid="{63043CBE-0E93-4476-A9C3-3C79092D6259}"/>
    <cellStyle name="Moneda 166 2 2" xfId="4349" xr:uid="{2C28B93D-5E47-4BD0-BD38-2769A02AF39D}"/>
    <cellStyle name="Moneda 166 2 2 2" xfId="11917" xr:uid="{22BE59D6-AADC-4722-9F1C-1765F10F35B3}"/>
    <cellStyle name="Moneda 166 2 3" xfId="8997" xr:uid="{E8267956-6A87-45DA-BFE2-B23650260829}"/>
    <cellStyle name="Moneda 166 3" xfId="1753" xr:uid="{EF430E0B-D33F-4235-AD6C-6E3A17CDE20D}"/>
    <cellStyle name="Moneda 166 3 2" xfId="4713" xr:uid="{A82AC72E-4F96-4175-B9CB-065A9BA32E1B}"/>
    <cellStyle name="Moneda 166 3 2 2" xfId="12281" xr:uid="{900DE7A3-F4D6-4CCA-AB97-2EEBEB1822BA}"/>
    <cellStyle name="Moneda 166 3 3" xfId="9361" xr:uid="{37879AAC-747C-45BB-A763-04E102E0C785}"/>
    <cellStyle name="Moneda 166 4" xfId="2132" xr:uid="{089A5E30-51D5-459C-A765-521D68D312BF}"/>
    <cellStyle name="Moneda 166 4 2" xfId="5091" xr:uid="{87E007E7-2577-4BB4-A65B-0FBC41A0716F}"/>
    <cellStyle name="Moneda 166 4 2 2" xfId="12659" xr:uid="{F798CE78-462C-4CB8-A7D9-E4DDE213392F}"/>
    <cellStyle name="Moneda 166 4 3" xfId="9739" xr:uid="{1F12AA35-31FC-4E24-96C9-163BA360B639}"/>
    <cellStyle name="Moneda 166 5" xfId="3818" xr:uid="{2659B842-A70D-4775-99C6-7BEBC6CCDE76}"/>
    <cellStyle name="Moneda 166 5 2" xfId="11386" xr:uid="{8A0A0878-43D6-468A-8212-2B93CC865AE5}"/>
    <cellStyle name="Moneda 166 6" xfId="8466" xr:uid="{39E291A6-2502-4FC8-9FAD-3FA8B0AFB23D}"/>
    <cellStyle name="Moneda 167" xfId="686" xr:uid="{49D06C9B-DF19-45B6-B47C-262A9FF4B667}"/>
    <cellStyle name="Moneda 167 2" xfId="1391" xr:uid="{54D92B32-281B-40A7-8BD9-78D3A6838BFC}"/>
    <cellStyle name="Moneda 167 2 2" xfId="4351" xr:uid="{D13188DD-4F13-48A6-88BA-DE7E77A85788}"/>
    <cellStyle name="Moneda 167 2 2 2" xfId="11919" xr:uid="{E109A2F1-659A-4689-93B2-BD718D6AB527}"/>
    <cellStyle name="Moneda 167 2 3" xfId="8999" xr:uid="{F6820628-BD57-4D72-9D34-9178D2983C24}"/>
    <cellStyle name="Moneda 167 3" xfId="1755" xr:uid="{F83BA38F-4325-4FA5-B296-EBDECDCD602F}"/>
    <cellStyle name="Moneda 167 3 2" xfId="4715" xr:uid="{8D366CB1-77C9-465F-AF6C-B12B3C1BC584}"/>
    <cellStyle name="Moneda 167 3 2 2" xfId="12283" xr:uid="{27BEECCB-B23E-40CB-8BFD-E0F96EB1FB11}"/>
    <cellStyle name="Moneda 167 3 3" xfId="9363" xr:uid="{AB60289F-DB4F-4693-A233-FFC311A3B484}"/>
    <cellStyle name="Moneda 167 4" xfId="2134" xr:uid="{21038881-0839-491B-8164-913B1D360662}"/>
    <cellStyle name="Moneda 167 4 2" xfId="5093" xr:uid="{AB82ED48-7D7C-4EEC-BC2E-FFE938BD117C}"/>
    <cellStyle name="Moneda 167 4 2 2" xfId="12661" xr:uid="{421C79A0-CC7B-4333-8317-3B9838F07437}"/>
    <cellStyle name="Moneda 167 4 3" xfId="9741" xr:uid="{2342C382-2A74-48FC-B64B-EC2BB4E57F3A}"/>
    <cellStyle name="Moneda 167 5" xfId="3820" xr:uid="{1DE09F37-F7AA-4525-85AE-4285921B67EE}"/>
    <cellStyle name="Moneda 167 5 2" xfId="11388" xr:uid="{178736F3-CA81-4C2D-9B8F-3E5236E68EE6}"/>
    <cellStyle name="Moneda 167 6" xfId="8468" xr:uid="{8E345035-EAB1-42F2-B8DD-8386EC0D3C91}"/>
    <cellStyle name="Moneda 168" xfId="689" xr:uid="{AA191936-31BC-4346-ABEA-42D2EB62D12C}"/>
    <cellStyle name="Moneda 168 2" xfId="1393" xr:uid="{D12B78A4-BD56-4370-ACBB-77E479596831}"/>
    <cellStyle name="Moneda 168 2 2" xfId="4353" xr:uid="{F7EC10A9-C8A7-4D44-A4E6-A8926184B8D6}"/>
    <cellStyle name="Moneda 168 2 2 2" xfId="11921" xr:uid="{EF4F55A0-21CD-4BD0-8062-8A93339B4BF4}"/>
    <cellStyle name="Moneda 168 2 3" xfId="9001" xr:uid="{98463CFD-8494-4079-AC3D-F4079A49BCEC}"/>
    <cellStyle name="Moneda 168 3" xfId="1757" xr:uid="{63F627C6-43A2-4400-8F4D-E4A1278CB6B3}"/>
    <cellStyle name="Moneda 168 3 2" xfId="4717" xr:uid="{295F7DA4-A99B-4218-8748-3D06E68C031B}"/>
    <cellStyle name="Moneda 168 3 2 2" xfId="12285" xr:uid="{16B5C626-6296-423A-8F42-EBBE68E41F9C}"/>
    <cellStyle name="Moneda 168 3 3" xfId="9365" xr:uid="{FF5D2B30-1A48-410E-96DE-73D99E083771}"/>
    <cellStyle name="Moneda 168 4" xfId="2136" xr:uid="{F28B8CD3-A2C6-4FE7-884A-8E1768DF76C2}"/>
    <cellStyle name="Moneda 168 4 2" xfId="5095" xr:uid="{9653F712-1CA8-451F-8336-E15662006323}"/>
    <cellStyle name="Moneda 168 4 2 2" xfId="12663" xr:uid="{710E7A7B-01DC-419A-949C-520F5BDC52F4}"/>
    <cellStyle name="Moneda 168 4 3" xfId="9743" xr:uid="{396607D5-727B-4547-9CF7-216C1BE85F97}"/>
    <cellStyle name="Moneda 168 5" xfId="3822" xr:uid="{FAA09CFC-B91B-41E8-9173-38F9BC17B868}"/>
    <cellStyle name="Moneda 168 5 2" xfId="11390" xr:uid="{1B2D294F-028E-4DDA-BD9F-0D4447F123D5}"/>
    <cellStyle name="Moneda 168 6" xfId="8470" xr:uid="{DFF3238C-F186-4E5D-801D-C9ABBF201531}"/>
    <cellStyle name="Moneda 169" xfId="692" xr:uid="{362603AE-95F4-4682-8796-F7D9E1088C37}"/>
    <cellStyle name="Moneda 169 2" xfId="1395" xr:uid="{1873D337-F96C-4C79-B23C-EF6FCA174B3B}"/>
    <cellStyle name="Moneda 169 2 2" xfId="4355" xr:uid="{7D4A93F2-A14D-4BA0-A0F9-482E5DDDC3B1}"/>
    <cellStyle name="Moneda 169 2 2 2" xfId="11923" xr:uid="{9B0C1FBB-A231-443C-813D-B73D647073BB}"/>
    <cellStyle name="Moneda 169 2 3" xfId="9003" xr:uid="{A31E6144-8065-48FA-BC92-269294EF2ADF}"/>
    <cellStyle name="Moneda 169 3" xfId="1759" xr:uid="{0B0D398C-F516-4B47-B352-2F7BA14EBB0E}"/>
    <cellStyle name="Moneda 169 3 2" xfId="4719" xr:uid="{4F3E14FA-0B6C-4EF2-9FF3-85E7AE0378AB}"/>
    <cellStyle name="Moneda 169 3 2 2" xfId="12287" xr:uid="{E5FC582B-A709-457D-9D0C-D899D781D1A1}"/>
    <cellStyle name="Moneda 169 3 3" xfId="9367" xr:uid="{CDB9A83A-8BDA-4843-8914-258680D144D9}"/>
    <cellStyle name="Moneda 169 4" xfId="2138" xr:uid="{E558CF74-34A7-4DE2-9F32-870BBFFD06EF}"/>
    <cellStyle name="Moneda 169 4 2" xfId="5097" xr:uid="{CB14CD2C-AA37-4B12-B201-304984C2A435}"/>
    <cellStyle name="Moneda 169 4 2 2" xfId="12665" xr:uid="{632042F4-FB54-4336-8AC7-C56002119F50}"/>
    <cellStyle name="Moneda 169 4 3" xfId="9745" xr:uid="{49A0776F-A7B1-4F06-98FD-B68DC8AEFC25}"/>
    <cellStyle name="Moneda 169 5" xfId="3824" xr:uid="{AE2AACDF-68EC-4A7A-BC6E-4CF86049919A}"/>
    <cellStyle name="Moneda 169 5 2" xfId="11392" xr:uid="{8806EA02-1723-4FD9-A059-3171E29C368B}"/>
    <cellStyle name="Moneda 169 6" xfId="8472" xr:uid="{DC92CD93-8A56-480A-A72E-1EF5D57E5001}"/>
    <cellStyle name="Moneda 17" xfId="25" xr:uid="{00000000-0005-0000-0000-000056000000}"/>
    <cellStyle name="Moneda 17 10" xfId="3207" xr:uid="{7CC21380-8BC9-4820-8100-BFCB18856329}"/>
    <cellStyle name="Moneda 17 10 2" xfId="6211" xr:uid="{989E64A9-8B21-4E86-9CC7-599502ED91AB}"/>
    <cellStyle name="Moneda 17 10 2 2" xfId="13772" xr:uid="{AA0B0827-6481-4038-9D75-102511B7E02F}"/>
    <cellStyle name="Moneda 17 10 3" xfId="7615" xr:uid="{BF04564E-5F67-46EE-AC19-31851E412282}"/>
    <cellStyle name="Moneda 17 10 3 2" xfId="15144" xr:uid="{2BD7C9A2-1762-4010-B02A-F1BB95388547}"/>
    <cellStyle name="Moneda 17 10 4" xfId="10789" xr:uid="{ACDD8D5B-84E4-45B7-ABF1-BE1D40063AC9}"/>
    <cellStyle name="Moneda 17 11" xfId="3335" xr:uid="{8CB6913D-24A5-4AC6-B070-656457DBBEA1}"/>
    <cellStyle name="Moneda 17 11 2" xfId="6337" xr:uid="{67E961A6-3A6A-4C05-AED3-47142A7CD959}"/>
    <cellStyle name="Moneda 17 11 2 2" xfId="13898" xr:uid="{C18A5299-9951-4595-92DA-693194E24FD0}"/>
    <cellStyle name="Moneda 17 11 3" xfId="7741" xr:uid="{9A086084-966B-46EE-A26D-D081D4D01221}"/>
    <cellStyle name="Moneda 17 11 3 2" xfId="15270" xr:uid="{45BC8EDC-EE9C-4375-AD96-921BD9767661}"/>
    <cellStyle name="Moneda 17 11 4" xfId="10915" xr:uid="{EE1EBF54-9C6A-4F81-99B6-CD76FA16834D}"/>
    <cellStyle name="Moneda 17 12" xfId="2333" xr:uid="{72BE516A-5A16-4449-BBD6-EF78B33DC439}"/>
    <cellStyle name="Moneda 17 12 2" xfId="6473" xr:uid="{E4C5D7D1-45A2-455D-AFAF-48D3130FD38E}"/>
    <cellStyle name="Moneda 17 12 2 2" xfId="14029" xr:uid="{8B404E53-E864-4920-A809-3FBCF6CDC4B1}"/>
    <cellStyle name="Moneda 17 12 3" xfId="7872" xr:uid="{2649030F-DAF2-46B6-9D08-D8501F24243A}"/>
    <cellStyle name="Moneda 17 12 3 2" xfId="15401" xr:uid="{EE7C5433-58F4-43EB-BAF6-DB174CE8CE6E}"/>
    <cellStyle name="Moneda 17 12 4" xfId="9930" xr:uid="{18DCFBCB-7B73-4F29-8B55-52237D2E0664}"/>
    <cellStyle name="Moneda 17 13" xfId="3520" xr:uid="{BEA43106-1D25-4B5C-AA3E-A80AB1864F95}"/>
    <cellStyle name="Moneda 17 13 2" xfId="11088" xr:uid="{219060BF-7B41-486B-A306-DEC7A270E5E2}"/>
    <cellStyle name="Moneda 17 14" xfId="5352" xr:uid="{57CC7ADD-84D2-4886-ABD4-9B8B63647556}"/>
    <cellStyle name="Moneda 17 14 2" xfId="12913" xr:uid="{AF47D28F-1EC4-4B09-BCD0-54600063AF68}"/>
    <cellStyle name="Moneda 17 15" xfId="6756" xr:uid="{2E8ED444-785E-4436-B827-528805421C8B}"/>
    <cellStyle name="Moneda 17 15 2" xfId="14285" xr:uid="{DAEEEEF9-1EDE-447D-9067-9F6A38A52E6B}"/>
    <cellStyle name="Moneda 17 16" xfId="8168" xr:uid="{E02F3E7A-B2BE-4292-A0FE-ABC6A859EE83}"/>
    <cellStyle name="Moneda 17 17" xfId="235" xr:uid="{63C4EFF7-575C-4B8C-9F09-F6636D6C7696}"/>
    <cellStyle name="Moneda 17 2" xfId="1091" xr:uid="{AD620D9C-DFA8-40DB-A1E8-A79B173B72CD}"/>
    <cellStyle name="Moneda 17 2 10" xfId="3365" xr:uid="{F01C3FC4-02BF-4B80-B062-88BF2B2EC909}"/>
    <cellStyle name="Moneda 17 2 10 2" xfId="6367" xr:uid="{C3EAC836-8BDE-4309-A0EB-873C2FF7C633}"/>
    <cellStyle name="Moneda 17 2 10 2 2" xfId="13928" xr:uid="{0A2FFA47-A684-4E3F-8D61-1C0CACED7E71}"/>
    <cellStyle name="Moneda 17 2 10 3" xfId="7771" xr:uid="{3EFA2E98-8FF6-406E-B199-DAFD4B78470D}"/>
    <cellStyle name="Moneda 17 2 10 3 2" xfId="15300" xr:uid="{0685908F-BAC5-4252-9301-8CAFA4C99426}"/>
    <cellStyle name="Moneda 17 2 10 4" xfId="10945" xr:uid="{F51AC3B6-BE6A-4C16-812A-AEC43C57E905}"/>
    <cellStyle name="Moneda 17 2 11" xfId="2370" xr:uid="{3156EE01-DFCF-4058-A432-4289BDB6DC8E}"/>
    <cellStyle name="Moneda 17 2 11 2" xfId="6503" xr:uid="{65074FB9-0B4C-4422-8DD2-4FA13D7C3D15}"/>
    <cellStyle name="Moneda 17 2 11 2 2" xfId="14059" xr:uid="{A4B36B42-DF30-4F71-A161-838E337C6A44}"/>
    <cellStyle name="Moneda 17 2 11 3" xfId="7902" xr:uid="{6D4F7620-01DC-467D-9F1C-2E496AD16584}"/>
    <cellStyle name="Moneda 17 2 11 3 2" xfId="15431" xr:uid="{38E01D50-A975-4CE7-9DD8-92C837D501EC}"/>
    <cellStyle name="Moneda 17 2 11 4" xfId="9960" xr:uid="{1EFA9D84-F837-4FC4-8339-25ABB667D4F0}"/>
    <cellStyle name="Moneda 17 2 12" xfId="4051" xr:uid="{BD728CDF-33BD-456A-A062-ED27F111D0FE}"/>
    <cellStyle name="Moneda 17 2 12 2" xfId="11619" xr:uid="{0EE991A3-0091-40A9-A7A1-38D863FD5A8A}"/>
    <cellStyle name="Moneda 17 2 13" xfId="5382" xr:uid="{18F1247F-665C-4CF3-8A88-49AEEB2117D2}"/>
    <cellStyle name="Moneda 17 2 13 2" xfId="12943" xr:uid="{54A1C980-121D-4495-AD90-B2CD955D98D4}"/>
    <cellStyle name="Moneda 17 2 14" xfId="6786" xr:uid="{6002B784-C28F-4775-98CF-B4EDAA8BDD6E}"/>
    <cellStyle name="Moneda 17 2 14 2" xfId="14315" xr:uid="{80867E83-180B-4FC5-81FF-FAF8E3D0E8F5}"/>
    <cellStyle name="Moneda 17 2 15" xfId="8699" xr:uid="{556BFD99-3180-470E-814E-90DCED37AD43}"/>
    <cellStyle name="Moneda 17 2 2" xfId="2430" xr:uid="{8D7C095D-E604-49EF-832E-53A601933B91}"/>
    <cellStyle name="Moneda 17 2 2 10" xfId="6561" xr:uid="{DBE8BFED-B7A2-4879-9D62-40028580115D}"/>
    <cellStyle name="Moneda 17 2 2 10 2" xfId="7960" xr:uid="{ED3EA098-0D94-4D82-AA6E-D6CEE05DBB35}"/>
    <cellStyle name="Moneda 17 2 2 10 2 2" xfId="15489" xr:uid="{A5F7EA3A-38B3-4265-A5BD-1013934B8D39}"/>
    <cellStyle name="Moneda 17 2 2 10 3" xfId="14117" xr:uid="{331EFB01-F527-44FD-A209-7453F0D3393C}"/>
    <cellStyle name="Moneda 17 2 2 11" xfId="5440" xr:uid="{140C8E1E-0E50-4317-A47D-ED8912F02259}"/>
    <cellStyle name="Moneda 17 2 2 11 2" xfId="13001" xr:uid="{6459D3A1-41C2-4E3B-9A3B-3529310E56A5}"/>
    <cellStyle name="Moneda 17 2 2 12" xfId="6844" xr:uid="{35EC84A2-581C-489D-A018-AFFD304CF3FC}"/>
    <cellStyle name="Moneda 17 2 2 12 2" xfId="14373" xr:uid="{C55B6C3B-9167-41B1-8204-E04028CC22F9}"/>
    <cellStyle name="Moneda 17 2 2 13" xfId="10018" xr:uid="{30857C08-F69C-4BB8-BFA1-99121913A4F3}"/>
    <cellStyle name="Moneda 17 2 2 2" xfId="2554" xr:uid="{38C6B9A6-45E0-4468-B135-21CBA5347C3E}"/>
    <cellStyle name="Moneda 17 2 2 2 2" xfId="6696" xr:uid="{B2BBA70B-ADB0-49AF-B028-21AA37FD7068}"/>
    <cellStyle name="Moneda 17 2 2 2 2 2" xfId="8082" xr:uid="{7DC35F20-3CDD-4BF1-A9FB-B8BF8EA1C488}"/>
    <cellStyle name="Moneda 17 2 2 2 2 2 2" xfId="15611" xr:uid="{567D861C-5EE7-4658-9923-933BB45A1CCE}"/>
    <cellStyle name="Moneda 17 2 2 2 2 3" xfId="14239" xr:uid="{D8E611CE-FF8E-4706-8D64-CAC0E7397029}"/>
    <cellStyle name="Moneda 17 2 2 2 3" xfId="5560" xr:uid="{12050129-B7DB-403E-8476-A64E0062D828}"/>
    <cellStyle name="Moneda 17 2 2 2 3 2" xfId="13121" xr:uid="{C2D6DB92-73D4-4CE0-BCE8-A62ACC3C3112}"/>
    <cellStyle name="Moneda 17 2 2 2 4" xfId="6964" xr:uid="{9A9F6D96-BEAD-4103-B6FC-6802E291C87A}"/>
    <cellStyle name="Moneda 17 2 2 2 4 2" xfId="14493" xr:uid="{F3FBE32E-9F36-4B8A-8CA6-3E8C00ACB6EB}"/>
    <cellStyle name="Moneda 17 2 2 2 5" xfId="10138" xr:uid="{16381B96-82FE-4670-B5E2-3D792F9D2346}"/>
    <cellStyle name="Moneda 17 2 2 3" xfId="2675" xr:uid="{DE719F86-545B-4609-B37A-180455B53223}"/>
    <cellStyle name="Moneda 17 2 2 3 2" xfId="5680" xr:uid="{36083525-E520-41AC-9EE4-E7C7EB0DEC39}"/>
    <cellStyle name="Moneda 17 2 2 3 2 2" xfId="13241" xr:uid="{64A3E428-FF64-4E8F-B67D-4C4A48287620}"/>
    <cellStyle name="Moneda 17 2 2 3 3" xfId="7084" xr:uid="{7CD0DD1B-6DDA-48B7-9620-72E269D60A3A}"/>
    <cellStyle name="Moneda 17 2 2 3 3 2" xfId="14613" xr:uid="{CD6A835E-C5B8-498F-8D23-5A4CBDEB5837}"/>
    <cellStyle name="Moneda 17 2 2 3 4" xfId="10258" xr:uid="{ED9F5E7C-6FDA-4D41-8027-321EF9287D04}"/>
    <cellStyle name="Moneda 17 2 2 4" xfId="2797" xr:uid="{2AA9C088-90F5-49A3-8CB6-5915E8450042}"/>
    <cellStyle name="Moneda 17 2 2 4 2" xfId="5802" xr:uid="{A41043BC-C382-4D19-A340-6AB4FB3C3CC3}"/>
    <cellStyle name="Moneda 17 2 2 4 2 2" xfId="13363" xr:uid="{DD99E2CD-412C-4E7A-9833-4933BBBCDC88}"/>
    <cellStyle name="Moneda 17 2 2 4 3" xfId="7206" xr:uid="{D649B359-7BC3-4C08-8859-2FF41420AC9E}"/>
    <cellStyle name="Moneda 17 2 2 4 3 2" xfId="14735" xr:uid="{D4691ABB-DEF1-4F7B-A0FB-6E05BD5952EC}"/>
    <cellStyle name="Moneda 17 2 2 4 4" xfId="10380" xr:uid="{E664C9A8-3D34-467B-8612-B07FE4DDFB80}"/>
    <cellStyle name="Moneda 17 2 2 5" xfId="2922" xr:uid="{F3FBF22F-C86C-43D1-9E9B-3CA952789C96}"/>
    <cellStyle name="Moneda 17 2 2 5 2" xfId="5926" xr:uid="{16B2724E-9A60-4C64-A9A6-0C8C81F6DBA8}"/>
    <cellStyle name="Moneda 17 2 2 5 2 2" xfId="13487" xr:uid="{D712FAE7-19E7-499E-8E56-3FD57CAA3208}"/>
    <cellStyle name="Moneda 17 2 2 5 3" xfId="7330" xr:uid="{D3D74512-C073-44D0-81B6-030551C13B8D}"/>
    <cellStyle name="Moneda 17 2 2 5 3 2" xfId="14859" xr:uid="{87A151EE-F4CE-4AD9-A388-52B82292BBFE}"/>
    <cellStyle name="Moneda 17 2 2 5 4" xfId="10504" xr:uid="{4DE374AB-FCBB-4294-984D-FB4F828C422E}"/>
    <cellStyle name="Moneda 17 2 2 6" xfId="3046" xr:uid="{FB4DF336-1D72-4A4B-8E84-0FF7FAD18F18}"/>
    <cellStyle name="Moneda 17 2 2 6 2" xfId="6050" xr:uid="{2E531039-FC75-4CFB-809F-DA7957C80A08}"/>
    <cellStyle name="Moneda 17 2 2 6 2 2" xfId="13611" xr:uid="{E738907A-071E-492B-827C-38E1B10780CE}"/>
    <cellStyle name="Moneda 17 2 2 6 3" xfId="7454" xr:uid="{65A70EC5-BA0E-4CB8-9C94-8C5E8EF93418}"/>
    <cellStyle name="Moneda 17 2 2 6 3 2" xfId="14983" xr:uid="{A3E7DECA-A245-4E6B-B783-C089AF1BCE4B}"/>
    <cellStyle name="Moneda 17 2 2 6 4" xfId="10628" xr:uid="{9066E57C-8C2E-4732-B8F3-188C14481736}"/>
    <cellStyle name="Moneda 17 2 2 7" xfId="3170" xr:uid="{04764B3A-EED9-4139-B5BC-CA279CF4E7CC}"/>
    <cellStyle name="Moneda 17 2 2 7 2" xfId="6174" xr:uid="{E4A4449A-7E37-4F0D-9F8A-0A690F1E025D}"/>
    <cellStyle name="Moneda 17 2 2 7 2 2" xfId="13735" xr:uid="{BBC3B517-0D3D-4B4E-87D7-0DE548248A2B}"/>
    <cellStyle name="Moneda 17 2 2 7 3" xfId="7578" xr:uid="{B3A3C765-BB64-4EBF-83DB-9EC5E2AE247E}"/>
    <cellStyle name="Moneda 17 2 2 7 3 2" xfId="15107" xr:uid="{37DEBFC3-9CE4-4D55-9F8B-936872BD4F96}"/>
    <cellStyle name="Moneda 17 2 2 7 4" xfId="10752" xr:uid="{2484A6EB-CA1C-423C-9C3D-62B5B6D964B0}"/>
    <cellStyle name="Moneda 17 2 2 8" xfId="3295" xr:uid="{B01D991B-CE0F-4297-9359-D4CDD2EE5833}"/>
    <cellStyle name="Moneda 17 2 2 8 2" xfId="6299" xr:uid="{E7009DC2-9898-4FE1-93D3-2AD5B2BA7A7B}"/>
    <cellStyle name="Moneda 17 2 2 8 2 2" xfId="13860" xr:uid="{E6324B07-21F6-4E95-BCAC-EB8D9ADC7A15}"/>
    <cellStyle name="Moneda 17 2 2 8 3" xfId="7703" xr:uid="{102F76E1-4296-4291-BB0A-64D1DF92384D}"/>
    <cellStyle name="Moneda 17 2 2 8 3 2" xfId="15232" xr:uid="{9C2017B1-50B1-4983-9237-4C89D6BBC364}"/>
    <cellStyle name="Moneda 17 2 2 8 4" xfId="10877" xr:uid="{B11FCB96-E65A-409A-A321-265BD5599874}"/>
    <cellStyle name="Moneda 17 2 2 9" xfId="3423" xr:uid="{93A1C895-CE81-4E77-802C-DF52AAB4E34C}"/>
    <cellStyle name="Moneda 17 2 2 9 2" xfId="6425" xr:uid="{521A8503-1EDB-4A5C-AE2F-617C5DE18910}"/>
    <cellStyle name="Moneda 17 2 2 9 2 2" xfId="13986" xr:uid="{76198F5B-E030-4694-A1ED-5639777F7E3B}"/>
    <cellStyle name="Moneda 17 2 2 9 3" xfId="7829" xr:uid="{017DA538-FCA1-4D03-A1CB-767D4D514B54}"/>
    <cellStyle name="Moneda 17 2 2 9 3 2" xfId="15358" xr:uid="{947B47C2-175F-44AC-9FAB-2AE8A9215B26}"/>
    <cellStyle name="Moneda 17 2 2 9 4" xfId="11003" xr:uid="{C3125B6A-38EA-4C39-B15E-F8FE47C3935C}"/>
    <cellStyle name="Moneda 17 2 3" xfId="2496" xr:uid="{D40142CF-F3CB-4DD7-8A69-0A8FB8896879}"/>
    <cellStyle name="Moneda 17 2 3 2" xfId="6638" xr:uid="{E1244682-D797-42F8-8682-3F1E709EA27D}"/>
    <cellStyle name="Moneda 17 2 3 2 2" xfId="8024" xr:uid="{236D9A15-29DE-4874-9389-04B694E0A2C7}"/>
    <cellStyle name="Moneda 17 2 3 2 2 2" xfId="15553" xr:uid="{915FF97C-864B-4FF7-98D0-17703778FFB0}"/>
    <cellStyle name="Moneda 17 2 3 2 3" xfId="14181" xr:uid="{7568E325-4823-4EBE-BD86-2E39A4404001}"/>
    <cellStyle name="Moneda 17 2 3 3" xfId="5502" xr:uid="{ABB62136-B15D-4331-B43B-905F869492E8}"/>
    <cellStyle name="Moneda 17 2 3 3 2" xfId="13063" xr:uid="{5EAC0827-93EC-4982-AA6C-0615A0A56F10}"/>
    <cellStyle name="Moneda 17 2 3 4" xfId="6906" xr:uid="{E29687C0-4202-4C96-8432-CF0AAA058D93}"/>
    <cellStyle name="Moneda 17 2 3 4 2" xfId="14435" xr:uid="{88FDE91B-B7BB-499B-BC80-168DACDA4F65}"/>
    <cellStyle name="Moneda 17 2 3 5" xfId="10080" xr:uid="{BD9CBEB3-FA15-4A27-ADA2-CC577DE2ACC7}"/>
    <cellStyle name="Moneda 17 2 4" xfId="2617" xr:uid="{F2AA7A75-E8FF-4CEF-85B9-6084A5017D2E}"/>
    <cellStyle name="Moneda 17 2 4 2" xfId="5622" xr:uid="{C2F88F6F-335B-4B6F-A8E6-3B9A39DDBD6F}"/>
    <cellStyle name="Moneda 17 2 4 2 2" xfId="13183" xr:uid="{855B95AF-E668-4398-AD7A-4FBABE68EAD0}"/>
    <cellStyle name="Moneda 17 2 4 3" xfId="7026" xr:uid="{69CC66FA-DDFB-4432-BD49-F4C5B1DE3F76}"/>
    <cellStyle name="Moneda 17 2 4 3 2" xfId="14555" xr:uid="{D0696B4D-3C97-4D55-A282-8E37D3740B2D}"/>
    <cellStyle name="Moneda 17 2 4 4" xfId="10200" xr:uid="{7CB753C4-EF9B-4D30-AAF9-F6AF817E0222}"/>
    <cellStyle name="Moneda 17 2 5" xfId="2739" xr:uid="{A5154AF2-258E-4CAC-A127-93D84E314203}"/>
    <cellStyle name="Moneda 17 2 5 2" xfId="5744" xr:uid="{CEBDCEED-578E-47D1-B8E7-1DA65968F65C}"/>
    <cellStyle name="Moneda 17 2 5 2 2" xfId="13305" xr:uid="{1DFBA042-EAD0-4C26-90A4-BA961390A4AC}"/>
    <cellStyle name="Moneda 17 2 5 3" xfId="7148" xr:uid="{3FEAF76B-D4BA-4706-A62D-361BF62341E3}"/>
    <cellStyle name="Moneda 17 2 5 3 2" xfId="14677" xr:uid="{97694080-B46A-4D3A-B05C-F0C3786D7EB6}"/>
    <cellStyle name="Moneda 17 2 5 4" xfId="10322" xr:uid="{49B08CE0-AD9D-4442-8555-B92E6CE68DCB}"/>
    <cellStyle name="Moneda 17 2 6" xfId="2864" xr:uid="{AD43AD33-8F11-4AE8-8FF1-CFB81C13D966}"/>
    <cellStyle name="Moneda 17 2 6 2" xfId="5868" xr:uid="{92D5E836-C55F-43E5-B3BB-093CF103F6C1}"/>
    <cellStyle name="Moneda 17 2 6 2 2" xfId="13429" xr:uid="{98A7F7EF-BD8E-4A56-9311-FAC8001399FC}"/>
    <cellStyle name="Moneda 17 2 6 3" xfId="7272" xr:uid="{9707BA96-B525-400A-A4AA-1FFB3665C140}"/>
    <cellStyle name="Moneda 17 2 6 3 2" xfId="14801" xr:uid="{A7DBB565-6784-4DE7-894F-410800A12D9A}"/>
    <cellStyle name="Moneda 17 2 6 4" xfId="10446" xr:uid="{CC1F5AC3-F8D3-4C22-B16E-675DE16C4A5F}"/>
    <cellStyle name="Moneda 17 2 7" xfId="2988" xr:uid="{59ACFE9D-B7F3-44A6-A0D4-1B73CFE4F2AD}"/>
    <cellStyle name="Moneda 17 2 7 2" xfId="5992" xr:uid="{2D84E6AE-37D8-4E32-AC94-6B48885D5E60}"/>
    <cellStyle name="Moneda 17 2 7 2 2" xfId="13553" xr:uid="{A10298B0-1F76-4AEE-A3A9-73C8C0B25F64}"/>
    <cellStyle name="Moneda 17 2 7 3" xfId="7396" xr:uid="{892B99E2-1B27-433A-AFB6-223F1B676F0A}"/>
    <cellStyle name="Moneda 17 2 7 3 2" xfId="14925" xr:uid="{13886ACF-B483-4CDA-A988-FE12EBBAEC9F}"/>
    <cellStyle name="Moneda 17 2 7 4" xfId="10570" xr:uid="{72786068-3EE7-4982-9968-E6A6627A995A}"/>
    <cellStyle name="Moneda 17 2 8" xfId="3112" xr:uid="{041C5B49-38B9-4C59-9356-0E620171CE34}"/>
    <cellStyle name="Moneda 17 2 8 2" xfId="6116" xr:uid="{9B6164BD-3FEA-40D4-9920-14865CF71B2F}"/>
    <cellStyle name="Moneda 17 2 8 2 2" xfId="13677" xr:uid="{9B090729-D504-44F6-A2B6-AB967D21C4E9}"/>
    <cellStyle name="Moneda 17 2 8 3" xfId="7520" xr:uid="{F01E845F-94B9-4697-9F79-22AD92C48CA6}"/>
    <cellStyle name="Moneda 17 2 8 3 2" xfId="15049" xr:uid="{6603E25F-CAE5-482C-85B9-4FD09E17537E}"/>
    <cellStyle name="Moneda 17 2 8 4" xfId="10694" xr:uid="{B13F65A2-7CE3-4A97-9B6A-FC27381B7E15}"/>
    <cellStyle name="Moneda 17 2 9" xfId="3237" xr:uid="{C8D73113-35EF-4BC8-B95F-20749C013C7E}"/>
    <cellStyle name="Moneda 17 2 9 2" xfId="6241" xr:uid="{D782146E-EB23-4A85-97C0-20F733F29FDB}"/>
    <cellStyle name="Moneda 17 2 9 2 2" xfId="13802" xr:uid="{9132F7D7-B0D1-440E-A04E-1618F55F11BB}"/>
    <cellStyle name="Moneda 17 2 9 3" xfId="7645" xr:uid="{AD14A4DA-728F-4F9C-85AD-D6D1925E96F0}"/>
    <cellStyle name="Moneda 17 2 9 3 2" xfId="15174" xr:uid="{FFCA1BBB-F886-445F-A3B1-7D5C37182A98}"/>
    <cellStyle name="Moneda 17 2 9 4" xfId="10819" xr:uid="{F0BEE942-FAB0-40AB-8E58-082D837E47AC}"/>
    <cellStyle name="Moneda 17 3" xfId="1455" xr:uid="{1400F48F-9081-4F0E-9182-252C3E3E9801}"/>
    <cellStyle name="Moneda 17 3 10" xfId="2400" xr:uid="{E9E089D9-8756-4BD3-9586-E542AF911012}"/>
    <cellStyle name="Moneda 17 3 10 2" xfId="6531" xr:uid="{847FD084-6B6E-4E4E-A334-F32E7E23BA0E}"/>
    <cellStyle name="Moneda 17 3 10 2 2" xfId="14087" xr:uid="{ACC98356-6257-4E20-AB6A-ACB76546243B}"/>
    <cellStyle name="Moneda 17 3 10 3" xfId="7930" xr:uid="{E1667CEC-FE3A-4CC8-B018-4279A2A26D2B}"/>
    <cellStyle name="Moneda 17 3 10 3 2" xfId="15459" xr:uid="{6385DC49-744B-4281-B3D9-2F3B6A070869}"/>
    <cellStyle name="Moneda 17 3 10 4" xfId="9988" xr:uid="{A2F14B7D-8564-4178-961C-782B964067B9}"/>
    <cellStyle name="Moneda 17 3 11" xfId="4415" xr:uid="{347C1972-63E0-4431-883A-3429E7B25103}"/>
    <cellStyle name="Moneda 17 3 11 2" xfId="11983" xr:uid="{7DE72511-B877-44BC-9EE8-930176FE2948}"/>
    <cellStyle name="Moneda 17 3 12" xfId="5410" xr:uid="{9227A2D4-AAD0-4E5B-A1E9-DF6BCFA31B64}"/>
    <cellStyle name="Moneda 17 3 12 2" xfId="12971" xr:uid="{9F238B06-F49B-4FAD-A616-EC3010F5BD0B}"/>
    <cellStyle name="Moneda 17 3 13" xfId="6814" xr:uid="{C6FF913E-2666-4EDF-9CB7-3B885D91D250}"/>
    <cellStyle name="Moneda 17 3 13 2" xfId="14343" xr:uid="{632E517D-6994-4670-AA22-01E762612347}"/>
    <cellStyle name="Moneda 17 3 14" xfId="9063" xr:uid="{783D0B01-C57D-47E8-B6BD-8DE61F7E1D66}"/>
    <cellStyle name="Moneda 17 3 2" xfId="2524" xr:uid="{C878F59E-177E-4FB4-99C2-C37593596F32}"/>
    <cellStyle name="Moneda 17 3 2 2" xfId="6666" xr:uid="{49935D3E-4A2F-4811-ADEC-990415038CAC}"/>
    <cellStyle name="Moneda 17 3 2 2 2" xfId="8052" xr:uid="{5B346F77-CD2A-457F-B682-8D5D7A049C69}"/>
    <cellStyle name="Moneda 17 3 2 2 2 2" xfId="15581" xr:uid="{872776AA-1E08-411A-BC14-D08D1ED17986}"/>
    <cellStyle name="Moneda 17 3 2 2 3" xfId="14209" xr:uid="{3EAA775D-19DA-447F-8C7E-A7493DD0089C}"/>
    <cellStyle name="Moneda 17 3 2 3" xfId="5530" xr:uid="{8A6033EA-D803-4D27-AC04-E57B7C32F3FA}"/>
    <cellStyle name="Moneda 17 3 2 3 2" xfId="13091" xr:uid="{DCA78BBE-BF26-4B90-967C-E8582FB1FE01}"/>
    <cellStyle name="Moneda 17 3 2 4" xfId="6934" xr:uid="{5E7582AF-7CE5-4AF4-AE92-C6BE80261D91}"/>
    <cellStyle name="Moneda 17 3 2 4 2" xfId="14463" xr:uid="{B567863D-B242-4C97-901F-F8DDEB05EF04}"/>
    <cellStyle name="Moneda 17 3 2 5" xfId="10108" xr:uid="{8B2C4F17-30CA-4414-A390-28F86E62B3CA}"/>
    <cellStyle name="Moneda 17 3 3" xfId="2645" xr:uid="{3E18FA69-43B6-42DD-ABAF-665FAF6D2350}"/>
    <cellStyle name="Moneda 17 3 3 2" xfId="5650" xr:uid="{77F2AC75-670D-44A1-8085-3D9F564C22AD}"/>
    <cellStyle name="Moneda 17 3 3 2 2" xfId="13211" xr:uid="{83139C4F-50A5-4293-8117-C6B0EE4A0538}"/>
    <cellStyle name="Moneda 17 3 3 3" xfId="7054" xr:uid="{9CA0FE77-4BAE-4946-956F-62A3EACD44A3}"/>
    <cellStyle name="Moneda 17 3 3 3 2" xfId="14583" xr:uid="{7144DCC0-0EC5-4D57-86A0-3F6841AC1B00}"/>
    <cellStyle name="Moneda 17 3 3 4" xfId="10228" xr:uid="{D147936C-0CCE-47AB-8E0E-209B48CB1391}"/>
    <cellStyle name="Moneda 17 3 4" xfId="2767" xr:uid="{25E25AE3-B1FB-43D6-A47A-377F578B9604}"/>
    <cellStyle name="Moneda 17 3 4 2" xfId="5772" xr:uid="{FD0B932D-7B03-4684-B3D5-000DA37BBFC9}"/>
    <cellStyle name="Moneda 17 3 4 2 2" xfId="13333" xr:uid="{392B5B52-2ECF-4C4B-B1B8-5595DB52A896}"/>
    <cellStyle name="Moneda 17 3 4 3" xfId="7176" xr:uid="{ECAF735B-E383-42AC-9267-5D2980714EE4}"/>
    <cellStyle name="Moneda 17 3 4 3 2" xfId="14705" xr:uid="{88043D49-FC11-4381-88DE-2986A34B756D}"/>
    <cellStyle name="Moneda 17 3 4 4" xfId="10350" xr:uid="{248B243B-74F8-4CC0-8374-5B353F50EF50}"/>
    <cellStyle name="Moneda 17 3 5" xfId="2892" xr:uid="{D417F581-1566-4D07-B76D-2D929076814B}"/>
    <cellStyle name="Moneda 17 3 5 2" xfId="5896" xr:uid="{716523C2-F303-475F-8EF1-A01D2D03C7A2}"/>
    <cellStyle name="Moneda 17 3 5 2 2" xfId="13457" xr:uid="{E1E549CF-8D3F-44FE-8FAB-9D28B39C9155}"/>
    <cellStyle name="Moneda 17 3 5 3" xfId="7300" xr:uid="{27126A7C-C6A4-4C1C-B1ED-2FD222F8390D}"/>
    <cellStyle name="Moneda 17 3 5 3 2" xfId="14829" xr:uid="{6AD79A4D-484F-48BA-BF5A-BAC6EF9B039D}"/>
    <cellStyle name="Moneda 17 3 5 4" xfId="10474" xr:uid="{717F139D-8658-465D-8CB6-092A3A5782D7}"/>
    <cellStyle name="Moneda 17 3 6" xfId="3016" xr:uid="{8808AD1B-CE25-4D30-931B-8E313BF46C2E}"/>
    <cellStyle name="Moneda 17 3 6 2" xfId="6020" xr:uid="{FD5913C9-FCD6-4B4B-9DA3-D365165B3A25}"/>
    <cellStyle name="Moneda 17 3 6 2 2" xfId="13581" xr:uid="{281D5BCE-54C6-41CB-A285-759888486A08}"/>
    <cellStyle name="Moneda 17 3 6 3" xfId="7424" xr:uid="{71C3B9C8-7A57-4708-8CFD-2E5863ED1AB3}"/>
    <cellStyle name="Moneda 17 3 6 3 2" xfId="14953" xr:uid="{EBC9BD51-D55F-4A52-A3C8-FE630EB153CA}"/>
    <cellStyle name="Moneda 17 3 6 4" xfId="10598" xr:uid="{036D40CF-406D-4AC6-9E59-59DA34284536}"/>
    <cellStyle name="Moneda 17 3 7" xfId="3140" xr:uid="{DD2A15CE-C005-4D1E-8427-4F70849D2211}"/>
    <cellStyle name="Moneda 17 3 7 2" xfId="6144" xr:uid="{27A23CFC-9458-477C-B4B4-B2391E894FCF}"/>
    <cellStyle name="Moneda 17 3 7 2 2" xfId="13705" xr:uid="{85007488-4FFA-47F8-8E58-2107DC204BB4}"/>
    <cellStyle name="Moneda 17 3 7 3" xfId="7548" xr:uid="{3DB200A6-FF39-4103-B4B9-21521F801B4C}"/>
    <cellStyle name="Moneda 17 3 7 3 2" xfId="15077" xr:uid="{1145E2E8-9808-40E7-827C-A2DF8A86833D}"/>
    <cellStyle name="Moneda 17 3 7 4" xfId="10722" xr:uid="{FD6E085D-6E33-4F58-A0E9-BD9D4C70B784}"/>
    <cellStyle name="Moneda 17 3 8" xfId="3265" xr:uid="{E78BD12F-0546-468A-A5A7-E2E430A1F3FC}"/>
    <cellStyle name="Moneda 17 3 8 2" xfId="6269" xr:uid="{B1C983C7-AAF3-4304-8006-A583415348E7}"/>
    <cellStyle name="Moneda 17 3 8 2 2" xfId="13830" xr:uid="{4577CB22-5856-4A08-97A6-4FFF0F0DB627}"/>
    <cellStyle name="Moneda 17 3 8 3" xfId="7673" xr:uid="{502C7022-FF56-4142-9B58-69C685BB6201}"/>
    <cellStyle name="Moneda 17 3 8 3 2" xfId="15202" xr:uid="{EC8E999A-824E-49F8-A73E-A6E355A3A34E}"/>
    <cellStyle name="Moneda 17 3 8 4" xfId="10847" xr:uid="{3A28A347-42D5-44D6-83FA-9E7CD8969AF2}"/>
    <cellStyle name="Moneda 17 3 9" xfId="3393" xr:uid="{F7C7D46E-6B09-476B-B748-0777F57A4172}"/>
    <cellStyle name="Moneda 17 3 9 2" xfId="6395" xr:uid="{A630843D-E27E-431B-9DDE-CA5DA1B8766E}"/>
    <cellStyle name="Moneda 17 3 9 2 2" xfId="13956" xr:uid="{481C91DA-CC58-42BA-9B5A-EC3A21DD3D06}"/>
    <cellStyle name="Moneda 17 3 9 3" xfId="7799" xr:uid="{0893FE71-6E78-42DC-95A2-E4C200BC19E4}"/>
    <cellStyle name="Moneda 17 3 9 3 2" xfId="15328" xr:uid="{B1E9D7BD-8468-4B6F-8698-504E038A9FE6}"/>
    <cellStyle name="Moneda 17 3 9 4" xfId="10973" xr:uid="{CC011F04-FE31-4979-A57D-02C89270624E}"/>
    <cellStyle name="Moneda 17 4" xfId="1834" xr:uid="{B52B6854-6125-41AC-9203-A54076DF5583}"/>
    <cellStyle name="Moneda 17 4 2" xfId="2465" xr:uid="{33CB3FD0-04AD-44F7-B441-EBD15335BF4A}"/>
    <cellStyle name="Moneda 17 4 2 2" xfId="6608" xr:uid="{948E2314-96E0-427E-8A99-511190A24F19}"/>
    <cellStyle name="Moneda 17 4 2 2 2" xfId="14151" xr:uid="{D527836D-D67C-47EA-A72C-90071BFCAF34}"/>
    <cellStyle name="Moneda 17 4 2 3" xfId="7994" xr:uid="{B15BE8FB-2D84-4CA2-9160-82F56EA0BC0F}"/>
    <cellStyle name="Moneda 17 4 2 3 2" xfId="15523" xr:uid="{05F4A56E-E9F9-49E5-A4E3-3667594674DE}"/>
    <cellStyle name="Moneda 17 4 2 4" xfId="10049" xr:uid="{FB635FBB-CF13-4D7B-8BB5-2BEAA0C065BD}"/>
    <cellStyle name="Moneda 17 4 3" xfId="4793" xr:uid="{2F1C7A32-E7D8-478D-8D8B-466FA64AFC47}"/>
    <cellStyle name="Moneda 17 4 3 2" xfId="12361" xr:uid="{1941799B-4E2F-404E-8FD3-3518E3110766}"/>
    <cellStyle name="Moneda 17 4 4" xfId="5471" xr:uid="{309E0DDE-57D8-4453-8F30-1F5FFA5DAB23}"/>
    <cellStyle name="Moneda 17 4 4 2" xfId="13032" xr:uid="{A37F3A9C-FA94-4F53-AA49-54E2B148F7B4}"/>
    <cellStyle name="Moneda 17 4 5" xfId="6875" xr:uid="{E0CF3667-5CCB-481E-8772-62A379257177}"/>
    <cellStyle name="Moneda 17 4 5 2" xfId="14404" xr:uid="{82B4589C-D346-48E6-A9DA-69C7F5B853D2}"/>
    <cellStyle name="Moneda 17 4 6" xfId="9441" xr:uid="{18C90158-323C-4D97-A575-C038A3C298AB}"/>
    <cellStyle name="Moneda 17 5" xfId="2587" xr:uid="{23AEC93F-BEF3-4E85-8B13-9BF97C946265}"/>
    <cellStyle name="Moneda 17 5 2" xfId="5592" xr:uid="{F59FE8EC-44CD-4776-BB66-161B922C7B09}"/>
    <cellStyle name="Moneda 17 5 2 2" xfId="13153" xr:uid="{356AE88F-94B4-4559-B787-007E9C9E8CF8}"/>
    <cellStyle name="Moneda 17 5 3" xfId="6996" xr:uid="{2A220541-9370-4A4D-8A58-173057DCD7D7}"/>
    <cellStyle name="Moneda 17 5 3 2" xfId="14525" xr:uid="{D16FADDA-14D4-4D00-8147-D57DB2185F65}"/>
    <cellStyle name="Moneda 17 5 4" xfId="10170" xr:uid="{C5077E97-5569-4565-A34A-58DF4B737ADB}"/>
    <cellStyle name="Moneda 17 6" xfId="2709" xr:uid="{21E08FA0-D6BA-49E7-9CB6-69432A80F5B0}"/>
    <cellStyle name="Moneda 17 6 2" xfId="5714" xr:uid="{28AEB2F9-A49E-416D-BFB3-C04DFB31086D}"/>
    <cellStyle name="Moneda 17 6 2 2" xfId="13275" xr:uid="{2D31283C-BD69-4EDB-84BF-AF93E24CF5DC}"/>
    <cellStyle name="Moneda 17 6 3" xfId="7118" xr:uid="{E608D951-525D-4F64-A21F-4C9488866CD9}"/>
    <cellStyle name="Moneda 17 6 3 2" xfId="14647" xr:uid="{B794660E-3C71-4A45-8053-41C055EB496A}"/>
    <cellStyle name="Moneda 17 6 4" xfId="10292" xr:uid="{07BC405E-4A6B-433F-A3F3-FFD3F0A7A30A}"/>
    <cellStyle name="Moneda 17 7" xfId="2834" xr:uid="{BF0CA6BD-173B-4289-9F81-6C38D8FE628B}"/>
    <cellStyle name="Moneda 17 7 2" xfId="5838" xr:uid="{67356E11-1DF3-49C3-86C8-DC8FC4B2CCA0}"/>
    <cellStyle name="Moneda 17 7 2 2" xfId="13399" xr:uid="{D26370D9-0EB0-4F0D-8543-831158C106C9}"/>
    <cellStyle name="Moneda 17 7 3" xfId="7242" xr:uid="{1F757B6C-559A-4D65-B8C7-5A009B2CCB07}"/>
    <cellStyle name="Moneda 17 7 3 2" xfId="14771" xr:uid="{1388E97D-87D3-43C7-8F6C-E4B13BB114E6}"/>
    <cellStyle name="Moneda 17 7 4" xfId="10416" xr:uid="{E977753F-8C67-455F-BA2B-DC547DF51E1E}"/>
    <cellStyle name="Moneda 17 8" xfId="2958" xr:uid="{DABE3B0D-F5EC-410F-83EC-B7EE7B996F39}"/>
    <cellStyle name="Moneda 17 8 2" xfId="5962" xr:uid="{0D8DAB3F-359F-4FC8-BFE4-EC68DAEAD8D8}"/>
    <cellStyle name="Moneda 17 8 2 2" xfId="13523" xr:uid="{0FF150BB-5B77-475F-8793-21C67FA80067}"/>
    <cellStyle name="Moneda 17 8 3" xfId="7366" xr:uid="{22D62955-0FD3-4E10-B1BC-7B254B7A8A50}"/>
    <cellStyle name="Moneda 17 8 3 2" xfId="14895" xr:uid="{94BB0C6D-56B5-4CC6-AB3F-2A35D87FD96F}"/>
    <cellStyle name="Moneda 17 8 4" xfId="10540" xr:uid="{9DD99C2A-113F-492C-A0D4-E723B451020F}"/>
    <cellStyle name="Moneda 17 9" xfId="3082" xr:uid="{68A3AFD5-3654-4313-9745-56E11C153476}"/>
    <cellStyle name="Moneda 17 9 2" xfId="6086" xr:uid="{FBB60304-F5E4-4E00-890D-B0C6C3096A2B}"/>
    <cellStyle name="Moneda 17 9 2 2" xfId="13647" xr:uid="{84C12915-7839-46BC-BAF5-60D0484D3E25}"/>
    <cellStyle name="Moneda 17 9 3" xfId="7490" xr:uid="{1D4EAE7F-E96D-44CE-B972-DD4663085521}"/>
    <cellStyle name="Moneda 17 9 3 2" xfId="15019" xr:uid="{DDFB4CCF-7FF9-46F8-85BF-4502587EEA04}"/>
    <cellStyle name="Moneda 17 9 4" xfId="10664" xr:uid="{5B73F5E3-30DF-469D-A476-7862A93C3243}"/>
    <cellStyle name="Moneda 170" xfId="695" xr:uid="{9261758F-DBDE-4C15-969E-D7792B611FDF}"/>
    <cellStyle name="Moneda 170 2" xfId="1397" xr:uid="{2B73276C-9400-4D2F-A7C1-9522CA71DF54}"/>
    <cellStyle name="Moneda 170 2 2" xfId="4357" xr:uid="{FB354EA6-8320-49EF-9AF0-11D75E0C2450}"/>
    <cellStyle name="Moneda 170 2 2 2" xfId="11925" xr:uid="{000F8CD5-8D27-4976-8887-E1AA1F16CE73}"/>
    <cellStyle name="Moneda 170 2 3" xfId="9005" xr:uid="{6C64F8E0-3B29-4D9D-9286-389A179C54DE}"/>
    <cellStyle name="Moneda 170 3" xfId="1761" xr:uid="{AB4798AE-BAE3-407D-945B-CB723AA49741}"/>
    <cellStyle name="Moneda 170 3 2" xfId="4721" xr:uid="{E81CE751-2F2C-45E2-89DE-30FFA90150BC}"/>
    <cellStyle name="Moneda 170 3 2 2" xfId="12289" xr:uid="{6B1C5CBF-1400-4A92-B357-CB9572721677}"/>
    <cellStyle name="Moneda 170 3 3" xfId="9369" xr:uid="{2CEA7B90-9425-4323-A108-B30DE3309E65}"/>
    <cellStyle name="Moneda 170 4" xfId="2140" xr:uid="{6EA494E3-4A0B-4EB5-BE31-FED200F72D49}"/>
    <cellStyle name="Moneda 170 4 2" xfId="5099" xr:uid="{8FCA6054-0D35-46ED-B4E1-6E47AE9267CA}"/>
    <cellStyle name="Moneda 170 4 2 2" xfId="12667" xr:uid="{BD2E81F4-4F50-4E77-814D-71146CA31F78}"/>
    <cellStyle name="Moneda 170 4 3" xfId="9747" xr:uid="{7049ADF5-FC9F-42CA-9268-235DEA7BCAF5}"/>
    <cellStyle name="Moneda 170 5" xfId="3826" xr:uid="{A47B5757-C56F-4ADD-A1DE-FA90CEC990A6}"/>
    <cellStyle name="Moneda 170 5 2" xfId="11394" xr:uid="{7FBD35AD-D37E-4A77-8E8A-48124B07A635}"/>
    <cellStyle name="Moneda 170 6" xfId="8474" xr:uid="{04ECEF76-7C4F-47AA-8C34-BB37D5371741}"/>
    <cellStyle name="Moneda 171" xfId="698" xr:uid="{80DF887D-F823-420F-B075-119FCD0C0136}"/>
    <cellStyle name="Moneda 171 2" xfId="1399" xr:uid="{F83D70FA-A984-46E5-BD61-C2D05B5C12AF}"/>
    <cellStyle name="Moneda 171 2 2" xfId="4359" xr:uid="{85FE8C06-3AA1-44D5-9BC1-1714BF7EBA23}"/>
    <cellStyle name="Moneda 171 2 2 2" xfId="11927" xr:uid="{14001E3E-7AE5-44E8-A5E5-E7F17AF4CB8F}"/>
    <cellStyle name="Moneda 171 2 3" xfId="9007" xr:uid="{7A37A48B-FCB8-4BD8-B255-42DB4A9D75B4}"/>
    <cellStyle name="Moneda 171 3" xfId="1763" xr:uid="{6320C64E-119A-4B10-9DF3-63B9D7FA5C91}"/>
    <cellStyle name="Moneda 171 3 2" xfId="4723" xr:uid="{84D493F9-AA7F-4769-B074-D3456275BD0E}"/>
    <cellStyle name="Moneda 171 3 2 2" xfId="12291" xr:uid="{D1991E22-0516-41C0-ADCE-19722484A29F}"/>
    <cellStyle name="Moneda 171 3 3" xfId="9371" xr:uid="{5339FB43-A9BA-4F19-9B71-FD8568289A60}"/>
    <cellStyle name="Moneda 171 4" xfId="2142" xr:uid="{B2C5E8B7-AC24-4CD0-9348-F6B5A27BAEAE}"/>
    <cellStyle name="Moneda 171 4 2" xfId="5101" xr:uid="{3FA91B06-17A4-4C91-9A2B-7F4DE6B80880}"/>
    <cellStyle name="Moneda 171 4 2 2" xfId="12669" xr:uid="{B07564D2-55EB-4D08-9057-8DA70668CDF4}"/>
    <cellStyle name="Moneda 171 4 3" xfId="9749" xr:uid="{E7DCA3DC-2D15-483E-BFB6-28B8F569E0ED}"/>
    <cellStyle name="Moneda 171 5" xfId="3828" xr:uid="{5A4A98B5-8E69-4642-AD0F-FCDE09A0779D}"/>
    <cellStyle name="Moneda 171 5 2" xfId="11396" xr:uid="{53B8D577-69BE-45DA-96BD-E0AB1D7D5A6D}"/>
    <cellStyle name="Moneda 171 6" xfId="8476" xr:uid="{10F271BE-EF79-4670-A4E1-2B73D4EE0C09}"/>
    <cellStyle name="Moneda 172" xfId="701" xr:uid="{7684FD43-5DAD-4128-B049-7E301E2AB785}"/>
    <cellStyle name="Moneda 172 2" xfId="1401" xr:uid="{DC55EB71-F210-443F-997B-6F0ACB2BE0B0}"/>
    <cellStyle name="Moneda 172 2 2" xfId="4361" xr:uid="{D2892EBE-06E2-42E4-B07E-ECC201A453D5}"/>
    <cellStyle name="Moneda 172 2 2 2" xfId="11929" xr:uid="{58034F38-EBAC-461F-9575-3EDCF5948FD7}"/>
    <cellStyle name="Moneda 172 2 3" xfId="9009" xr:uid="{882739F6-4925-4C56-963B-A162A3673C91}"/>
    <cellStyle name="Moneda 172 3" xfId="1765" xr:uid="{61D25E04-D3DA-4184-8A89-CA910FABF113}"/>
    <cellStyle name="Moneda 172 3 2" xfId="4725" xr:uid="{BE2ED114-B17F-467C-B45D-ADE2C4580D59}"/>
    <cellStyle name="Moneda 172 3 2 2" xfId="12293" xr:uid="{D53155BA-3DDF-4C4A-89A9-233E4A817E51}"/>
    <cellStyle name="Moneda 172 3 3" xfId="9373" xr:uid="{68AB1E43-4D38-4BB0-B24C-D1E25DCE80F1}"/>
    <cellStyle name="Moneda 172 4" xfId="2144" xr:uid="{546DA00F-CBA0-446B-8BEF-F4F912CFE0BE}"/>
    <cellStyle name="Moneda 172 4 2" xfId="5103" xr:uid="{5D3A102E-1E00-48DF-B596-12D5062876A5}"/>
    <cellStyle name="Moneda 172 4 2 2" xfId="12671" xr:uid="{9D942EBB-B8B7-4AF7-96F2-2D240484ACAD}"/>
    <cellStyle name="Moneda 172 4 3" xfId="9751" xr:uid="{5D837D67-AE1C-4047-BF87-C0F1F19BDE11}"/>
    <cellStyle name="Moneda 172 5" xfId="3830" xr:uid="{CCD928B1-4FBE-486A-9F56-1D45BF8A1D90}"/>
    <cellStyle name="Moneda 172 5 2" xfId="11398" xr:uid="{27F229A1-8191-4806-B3E7-FE2B3C572BC8}"/>
    <cellStyle name="Moneda 172 6" xfId="8478" xr:uid="{02BF2DB7-64FC-4BDC-ACD8-A20E3F6314A2}"/>
    <cellStyle name="Moneda 173" xfId="704" xr:uid="{7AC35DD2-E77F-4566-A301-C076E8B17E05}"/>
    <cellStyle name="Moneda 173 2" xfId="1403" xr:uid="{80907C08-9079-4678-9F24-698BE52226D9}"/>
    <cellStyle name="Moneda 173 2 2" xfId="4363" xr:uid="{19597DDF-4B6A-447F-AFB9-4A776A9D75BC}"/>
    <cellStyle name="Moneda 173 2 2 2" xfId="11931" xr:uid="{664FC05E-969A-45E4-B2B7-2E7C1D530962}"/>
    <cellStyle name="Moneda 173 2 3" xfId="9011" xr:uid="{06BA9E49-95E2-4D7F-BC34-87C4E0EC8B50}"/>
    <cellStyle name="Moneda 173 3" xfId="1767" xr:uid="{FDA772D5-B966-4442-80D4-BA49DD9BFE54}"/>
    <cellStyle name="Moneda 173 3 2" xfId="4727" xr:uid="{3CBC5333-4FB9-4367-ADEA-FEE9CCBDED9E}"/>
    <cellStyle name="Moneda 173 3 2 2" xfId="12295" xr:uid="{AB8D0159-A8BE-4511-A103-D2F132BF3B5C}"/>
    <cellStyle name="Moneda 173 3 3" xfId="9375" xr:uid="{EA7E22A9-E648-4A53-9E13-D01D8302892B}"/>
    <cellStyle name="Moneda 173 4" xfId="2146" xr:uid="{CA451D6C-FB33-429B-A9C4-C2247DBE433E}"/>
    <cellStyle name="Moneda 173 4 2" xfId="5105" xr:uid="{C74DD6A2-57D7-49D7-B8CF-8585F7E4809E}"/>
    <cellStyle name="Moneda 173 4 2 2" xfId="12673" xr:uid="{202DD0BF-BB41-4171-94D7-5B2707ACB0AD}"/>
    <cellStyle name="Moneda 173 4 3" xfId="9753" xr:uid="{49AA82F9-705F-459B-9957-39D842179446}"/>
    <cellStyle name="Moneda 173 5" xfId="3832" xr:uid="{87A0C46C-BB24-4139-A948-46144955E366}"/>
    <cellStyle name="Moneda 173 5 2" xfId="11400" xr:uid="{D79E48CE-4CDB-4434-AD4D-F7D93FDC7F9B}"/>
    <cellStyle name="Moneda 173 6" xfId="8480" xr:uid="{E22506B6-1EFC-4F2A-AFB7-3890D815702E}"/>
    <cellStyle name="Moneda 174" xfId="707" xr:uid="{FF11D363-5F99-48C8-9B3F-567D435C7CB5}"/>
    <cellStyle name="Moneda 174 2" xfId="1405" xr:uid="{01C2C095-6E75-4F15-86F6-065A1BE1A652}"/>
    <cellStyle name="Moneda 174 2 2" xfId="4365" xr:uid="{0CE7124A-C590-44C9-8AF5-627BBEB80F00}"/>
    <cellStyle name="Moneda 174 2 2 2" xfId="11933" xr:uid="{54B81C4D-F8DC-4E63-8F0C-FBDA483D5370}"/>
    <cellStyle name="Moneda 174 2 3" xfId="9013" xr:uid="{AD2BAAB4-ED8C-4B81-8091-35DD0062C176}"/>
    <cellStyle name="Moneda 174 3" xfId="1769" xr:uid="{A9F3B218-6CE2-4913-91DF-16A48FF92A29}"/>
    <cellStyle name="Moneda 174 3 2" xfId="4729" xr:uid="{61F27720-71C4-45F2-BC20-B01203C0E3A0}"/>
    <cellStyle name="Moneda 174 3 2 2" xfId="12297" xr:uid="{61D8A69B-68DD-4FFF-B397-A0C8405709CC}"/>
    <cellStyle name="Moneda 174 3 3" xfId="9377" xr:uid="{9B70FB23-F346-458C-B796-F0FAD5446823}"/>
    <cellStyle name="Moneda 174 4" xfId="2148" xr:uid="{C6B30582-9CB0-4FF6-A5C4-78E43B805145}"/>
    <cellStyle name="Moneda 174 4 2" xfId="5107" xr:uid="{C54734E8-1AB2-4818-A3A0-233668AEEC24}"/>
    <cellStyle name="Moneda 174 4 2 2" xfId="12675" xr:uid="{942AA116-ADF5-4474-A52D-86D62FCF98EB}"/>
    <cellStyle name="Moneda 174 4 3" xfId="9755" xr:uid="{C981783B-9575-4812-8AAA-8C7A848AF87F}"/>
    <cellStyle name="Moneda 174 5" xfId="3834" xr:uid="{A5DD7914-9970-4BAC-A8E5-2C045A9AA669}"/>
    <cellStyle name="Moneda 174 5 2" xfId="11402" xr:uid="{7BB57486-31A6-40FB-9116-84F6F162E5F7}"/>
    <cellStyle name="Moneda 174 6" xfId="8482" xr:uid="{2BEA7E30-934D-4B5B-BA0F-7807300FCD72}"/>
    <cellStyle name="Moneda 175" xfId="710" xr:uid="{1CB1D124-2CA2-48FA-9D9D-B8968F9DFD91}"/>
    <cellStyle name="Moneda 175 2" xfId="1407" xr:uid="{91CD2988-2B56-448D-90A5-C5E6CAD2C91F}"/>
    <cellStyle name="Moneda 175 2 2" xfId="4367" xr:uid="{1B1C403C-1439-4FA0-98FB-09C543659406}"/>
    <cellStyle name="Moneda 175 2 2 2" xfId="11935" xr:uid="{66F9C418-339F-4821-9044-E47E6E65B6FB}"/>
    <cellStyle name="Moneda 175 2 3" xfId="9015" xr:uid="{8BDCBD19-46E4-4DC3-B30E-C98590262C8C}"/>
    <cellStyle name="Moneda 175 3" xfId="1771" xr:uid="{FD214C38-4DA3-4F8D-A206-FFFBFAFEE095}"/>
    <cellStyle name="Moneda 175 3 2" xfId="4731" xr:uid="{E8C0EAA8-82D8-4794-802A-018E249A6126}"/>
    <cellStyle name="Moneda 175 3 2 2" xfId="12299" xr:uid="{040D87D5-9FC6-429D-B9F6-4937D08D9C1D}"/>
    <cellStyle name="Moneda 175 3 3" xfId="9379" xr:uid="{3E58E025-0602-42E2-9ACC-142664971557}"/>
    <cellStyle name="Moneda 175 4" xfId="2150" xr:uid="{B75736A5-D572-46D8-A0A9-E362940A2386}"/>
    <cellStyle name="Moneda 175 4 2" xfId="5109" xr:uid="{08CE55C0-6A75-4EC7-BF11-AFD9A28408D8}"/>
    <cellStyle name="Moneda 175 4 2 2" xfId="12677" xr:uid="{A1EDA380-3395-4919-BB74-409DE43359C5}"/>
    <cellStyle name="Moneda 175 4 3" xfId="9757" xr:uid="{2670D3FC-36DE-4A77-8E6C-BEC58112D3B8}"/>
    <cellStyle name="Moneda 175 5" xfId="3836" xr:uid="{5C510888-A43E-41CF-96CD-E93EE21DB253}"/>
    <cellStyle name="Moneda 175 5 2" xfId="11404" xr:uid="{2D53AB4C-47E3-439B-9346-D74382C993AC}"/>
    <cellStyle name="Moneda 175 6" xfId="8484" xr:uid="{0ED26608-C451-4CBD-B1FB-DACD6876FD05}"/>
    <cellStyle name="Moneda 176" xfId="713" xr:uid="{A6B93CFF-C7C4-4C4A-8189-12DA115B0BD1}"/>
    <cellStyle name="Moneda 176 2" xfId="1409" xr:uid="{B9D37669-93F8-4422-872A-188231F5A9CC}"/>
    <cellStyle name="Moneda 176 2 2" xfId="4369" xr:uid="{CF95EAE0-1358-4CCA-A5D9-16EECDC5E12B}"/>
    <cellStyle name="Moneda 176 2 2 2" xfId="11937" xr:uid="{F071F181-8400-4ED7-8620-745B9D1E17BC}"/>
    <cellStyle name="Moneda 176 2 3" xfId="9017" xr:uid="{4230E748-1F7E-48A6-90A7-7C7069923CF0}"/>
    <cellStyle name="Moneda 176 3" xfId="1773" xr:uid="{9C231FDE-6C9A-4678-90E6-4716F2B70F30}"/>
    <cellStyle name="Moneda 176 3 2" xfId="4733" xr:uid="{38FD3E67-78FB-4B3E-9D0F-C0C77DA2337F}"/>
    <cellStyle name="Moneda 176 3 2 2" xfId="12301" xr:uid="{527ACEEC-8124-4013-84C4-C5F8B438AB10}"/>
    <cellStyle name="Moneda 176 3 3" xfId="9381" xr:uid="{45C18127-3149-4971-B7AB-5E57B59CDEF1}"/>
    <cellStyle name="Moneda 176 4" xfId="2152" xr:uid="{1D352172-D77B-4267-A19B-7509C04DFE26}"/>
    <cellStyle name="Moneda 176 4 2" xfId="5111" xr:uid="{C9D4421A-D418-4D3B-8E86-98BBA138D0A3}"/>
    <cellStyle name="Moneda 176 4 2 2" xfId="12679" xr:uid="{ED9582E2-A16A-453C-AB03-FA4788391D72}"/>
    <cellStyle name="Moneda 176 4 3" xfId="9759" xr:uid="{F990097E-BC42-483E-AA1D-EB85ABEC0BFF}"/>
    <cellStyle name="Moneda 176 5" xfId="3838" xr:uid="{8B3F212F-E2A7-46A9-B9B4-580E92C80D40}"/>
    <cellStyle name="Moneda 176 5 2" xfId="11406" xr:uid="{8F537E53-CED5-499E-90E8-C46D20EDE28C}"/>
    <cellStyle name="Moneda 176 6" xfId="8486" xr:uid="{630D94DB-8313-4091-82EF-6A5173A4BB23}"/>
    <cellStyle name="Moneda 177" xfId="716" xr:uid="{741A9426-90DD-4D69-B707-3D7220F6068C}"/>
    <cellStyle name="Moneda 177 2" xfId="1411" xr:uid="{A5B7901D-0D2A-4EC7-95FF-C278B68746F2}"/>
    <cellStyle name="Moneda 177 2 2" xfId="4371" xr:uid="{53917167-3420-4350-8334-DBA97AF960B8}"/>
    <cellStyle name="Moneda 177 2 2 2" xfId="11939" xr:uid="{1BA4FDE0-AE29-42D2-A910-00BADD39A025}"/>
    <cellStyle name="Moneda 177 2 3" xfId="9019" xr:uid="{20468D54-1D8D-4D2E-9106-59BDC29BDDA2}"/>
    <cellStyle name="Moneda 177 3" xfId="1775" xr:uid="{A3AA6572-3140-4CFC-B369-8AD3C1DB93F6}"/>
    <cellStyle name="Moneda 177 3 2" xfId="4735" xr:uid="{D563E911-C192-4BFD-BAA6-0B4242357CAF}"/>
    <cellStyle name="Moneda 177 3 2 2" xfId="12303" xr:uid="{4A591FD3-7322-4193-97D2-354EF6361198}"/>
    <cellStyle name="Moneda 177 3 3" xfId="9383" xr:uid="{2E5D977F-3DA1-4CFA-BACF-88CC8FEDFAC4}"/>
    <cellStyle name="Moneda 177 4" xfId="2154" xr:uid="{AD742819-2D0C-4011-91CA-E9E3ACD30484}"/>
    <cellStyle name="Moneda 177 4 2" xfId="5113" xr:uid="{0227B3F0-8429-416B-B13B-015736A0CEB4}"/>
    <cellStyle name="Moneda 177 4 2 2" xfId="12681" xr:uid="{F797CEBE-ADFF-4EFD-9E5E-E4BF8389BAEA}"/>
    <cellStyle name="Moneda 177 4 3" xfId="9761" xr:uid="{699F79BE-3C19-434B-BA3D-C71D9E76D83B}"/>
    <cellStyle name="Moneda 177 5" xfId="3840" xr:uid="{0F1FC408-F129-4818-B768-38B9A6AD1C5E}"/>
    <cellStyle name="Moneda 177 5 2" xfId="11408" xr:uid="{8436BCDF-CDF9-4EBC-8673-60077D46A259}"/>
    <cellStyle name="Moneda 177 6" xfId="8488" xr:uid="{96625D9E-7427-4DF7-8C92-B0F579AF3D6A}"/>
    <cellStyle name="Moneda 178" xfId="719" xr:uid="{CE29CF95-6534-4030-822C-0F4ADD86D7A9}"/>
    <cellStyle name="Moneda 178 2" xfId="1413" xr:uid="{8A7D0563-8715-4779-98DD-032D1C22013E}"/>
    <cellStyle name="Moneda 178 2 2" xfId="4373" xr:uid="{D8B38160-6D0A-4432-8B6F-8BF36EB784DE}"/>
    <cellStyle name="Moneda 178 2 2 2" xfId="11941" xr:uid="{15BD9891-8B33-4153-8F3C-C15B89C7BC5C}"/>
    <cellStyle name="Moneda 178 2 3" xfId="9021" xr:uid="{512C1564-85CC-4CD0-920C-5955C5E95DDB}"/>
    <cellStyle name="Moneda 178 3" xfId="1777" xr:uid="{9F22B808-8A6C-4FEC-827D-068F76A3A1F8}"/>
    <cellStyle name="Moneda 178 3 2" xfId="4737" xr:uid="{B38089BD-518B-415A-B2D0-A97A23949A07}"/>
    <cellStyle name="Moneda 178 3 2 2" xfId="12305" xr:uid="{F97C3AEC-5132-4231-B720-BCB9D8A4E495}"/>
    <cellStyle name="Moneda 178 3 3" xfId="9385" xr:uid="{7D533F20-00CA-4EEC-BBE9-3A67FFF35561}"/>
    <cellStyle name="Moneda 178 4" xfId="2156" xr:uid="{2B984D12-9A39-4F3A-A168-E2D31CC5C203}"/>
    <cellStyle name="Moneda 178 4 2" xfId="5115" xr:uid="{AAAF4489-A2EA-4F4B-A8A9-468CD1EEEF6E}"/>
    <cellStyle name="Moneda 178 4 2 2" xfId="12683" xr:uid="{14B75CBB-7C36-4DE1-B002-792FFAC9E59A}"/>
    <cellStyle name="Moneda 178 4 3" xfId="9763" xr:uid="{01A06113-06D7-4563-AC75-A70DE8993A87}"/>
    <cellStyle name="Moneda 178 5" xfId="3842" xr:uid="{53FE66FC-4AEB-4A3A-AC59-87AC98F472AC}"/>
    <cellStyle name="Moneda 178 5 2" xfId="11410" xr:uid="{65DAA214-4E54-4344-AAAF-B778DA435E81}"/>
    <cellStyle name="Moneda 178 6" xfId="8490" xr:uid="{0E1DC98C-9F43-4A75-B23C-962D3BFE3C86}"/>
    <cellStyle name="Moneda 179" xfId="722" xr:uid="{8C8C2054-554C-4F25-8879-B2D86B1270C3}"/>
    <cellStyle name="Moneda 179 2" xfId="1779" xr:uid="{CED96201-6BB4-4231-BCCC-6ED43FFF1EEF}"/>
    <cellStyle name="Moneda 179 2 2" xfId="4739" xr:uid="{F18C4865-53DC-44F8-BA62-466DC282F099}"/>
    <cellStyle name="Moneda 179 2 2 2" xfId="12307" xr:uid="{7DBB7753-E1E5-454D-9BD8-46CA0243A709}"/>
    <cellStyle name="Moneda 179 2 3" xfId="9387" xr:uid="{9E833F66-4A01-46A4-B5B4-B4B085E2D107}"/>
    <cellStyle name="Moneda 179 3" xfId="2158" xr:uid="{76BF59D5-81BF-4CE6-8A1F-BA291464EA20}"/>
    <cellStyle name="Moneda 179 3 2" xfId="5117" xr:uid="{8DA64A53-1B92-4102-A53B-CF32140ED88F}"/>
    <cellStyle name="Moneda 179 3 2 2" xfId="12685" xr:uid="{96502A3C-5F60-4B28-9517-EC4D6B772EE4}"/>
    <cellStyle name="Moneda 179 3 3" xfId="9765" xr:uid="{1F60B445-32C3-4C02-9EBD-E397B6DB8815}"/>
    <cellStyle name="Moneda 179 4" xfId="3844" xr:uid="{41E41A81-865B-4737-A828-EFAA4578B83B}"/>
    <cellStyle name="Moneda 179 4 2" xfId="11412" xr:uid="{AADF7022-AA2E-4EA4-AE14-699EE52969E4}"/>
    <cellStyle name="Moneda 179 5" xfId="8492" xr:uid="{84BDAA36-3F92-4E5D-BA15-94C6C5DAC45C}"/>
    <cellStyle name="Moneda 18" xfId="24" xr:uid="{00000000-0005-0000-0000-000057000000}"/>
    <cellStyle name="Moneda 18 10" xfId="3208" xr:uid="{215D8FC4-7A80-41E5-B70A-A7BCD3D52F21}"/>
    <cellStyle name="Moneda 18 10 2" xfId="6212" xr:uid="{6426F37A-F105-41A0-9E2D-45D266EFDD20}"/>
    <cellStyle name="Moneda 18 10 2 2" xfId="13773" xr:uid="{90F10D40-AA4F-4DBC-9C9A-50EEAA76C362}"/>
    <cellStyle name="Moneda 18 10 3" xfId="7616" xr:uid="{6918CAF6-A9AD-4C34-9E8A-5FE8D9F4BA57}"/>
    <cellStyle name="Moneda 18 10 3 2" xfId="15145" xr:uid="{316C0CE0-A90E-49CC-AF1B-1C2DCF14A7D8}"/>
    <cellStyle name="Moneda 18 10 4" xfId="10790" xr:uid="{7607EDB1-E861-4D87-9F7B-7CE6BB985545}"/>
    <cellStyle name="Moneda 18 11" xfId="3336" xr:uid="{596C5E89-78B7-4CE9-B330-E0457F4309C4}"/>
    <cellStyle name="Moneda 18 11 2" xfId="6338" xr:uid="{9551D1FC-642B-4454-9424-F80BC7F8FC58}"/>
    <cellStyle name="Moneda 18 11 2 2" xfId="13899" xr:uid="{6FF36A8A-7C59-4903-83B7-387ECA19B202}"/>
    <cellStyle name="Moneda 18 11 3" xfId="7742" xr:uid="{5B0F822C-76B3-4608-8E2F-D72D3C4A1F11}"/>
    <cellStyle name="Moneda 18 11 3 2" xfId="15271" xr:uid="{F66593CB-4FDC-4771-B96C-661BB159781F}"/>
    <cellStyle name="Moneda 18 11 4" xfId="10916" xr:uid="{60C341AD-1C43-419A-8090-409D18327CC4}"/>
    <cellStyle name="Moneda 18 12" xfId="2334" xr:uid="{31B681FE-669D-4EA6-BEE8-53C99241DFB3}"/>
    <cellStyle name="Moneda 18 12 2" xfId="6474" xr:uid="{85965791-E856-4A24-BE9F-69611420E32D}"/>
    <cellStyle name="Moneda 18 12 2 2" xfId="14030" xr:uid="{FC770FA7-6665-497D-83BA-F78EDB4650AF}"/>
    <cellStyle name="Moneda 18 12 3" xfId="7873" xr:uid="{1A4A20BE-8843-44F7-AB49-45B12A6CB9AA}"/>
    <cellStyle name="Moneda 18 12 3 2" xfId="15402" xr:uid="{3414B8DB-3A85-4289-928C-E25A52048F64}"/>
    <cellStyle name="Moneda 18 12 4" xfId="9931" xr:uid="{E95E78B2-CF9C-4CDD-B5BD-E68D0D4D9B05}"/>
    <cellStyle name="Moneda 18 13" xfId="3522" xr:uid="{7CCD1118-2539-4963-982D-54849A311875}"/>
    <cellStyle name="Moneda 18 13 2" xfId="11090" xr:uid="{6E592DD1-0233-4995-A967-FE9A26C97FAC}"/>
    <cellStyle name="Moneda 18 14" xfId="5353" xr:uid="{B04A5AC7-B2DD-4FF0-9427-6876EAD6872A}"/>
    <cellStyle name="Moneda 18 14 2" xfId="12914" xr:uid="{AA340DC8-D574-4A43-BFC6-7E3213158177}"/>
    <cellStyle name="Moneda 18 15" xfId="6757" xr:uid="{E386C564-9E5B-4B37-8337-90DD35D266A7}"/>
    <cellStyle name="Moneda 18 15 2" xfId="14286" xr:uid="{6F816FBF-159E-407F-8E07-D790A0FC2F32}"/>
    <cellStyle name="Moneda 18 16" xfId="8170" xr:uid="{6809BDB2-6C3C-45E9-8D58-66D08BA353E0}"/>
    <cellStyle name="Moneda 18 17" xfId="238" xr:uid="{178285E8-D62B-4526-9475-7E5A3C2C1FB3}"/>
    <cellStyle name="Moneda 18 2" xfId="1093" xr:uid="{636A49C1-4E0C-48B7-A514-2D6E29068788}"/>
    <cellStyle name="Moneda 18 2 10" xfId="3366" xr:uid="{EB1B2624-FF86-433F-B9C4-639F59C8EC09}"/>
    <cellStyle name="Moneda 18 2 10 2" xfId="6368" xr:uid="{825E19DA-26F6-4DBF-8714-018B363A9FD4}"/>
    <cellStyle name="Moneda 18 2 10 2 2" xfId="13929" xr:uid="{1C74DCAA-F44B-4619-A4CD-28D975DA330D}"/>
    <cellStyle name="Moneda 18 2 10 3" xfId="7772" xr:uid="{CF477844-EEF2-463F-9B35-908C552A0936}"/>
    <cellStyle name="Moneda 18 2 10 3 2" xfId="15301" xr:uid="{A045C961-2E6F-4B51-8041-0CB1F351A7BA}"/>
    <cellStyle name="Moneda 18 2 10 4" xfId="10946" xr:uid="{7F2588AD-0898-47B6-9EEA-0F55FE793F5E}"/>
    <cellStyle name="Moneda 18 2 11" xfId="2371" xr:uid="{B691152B-A683-4818-8065-84F04971D743}"/>
    <cellStyle name="Moneda 18 2 11 2" xfId="6504" xr:uid="{31C8588C-2DF3-4BBB-A0F9-6F52330EED1C}"/>
    <cellStyle name="Moneda 18 2 11 2 2" xfId="14060" xr:uid="{9E55A3C6-1986-406B-87C4-A128845EE3D4}"/>
    <cellStyle name="Moneda 18 2 11 3" xfId="7903" xr:uid="{F0E2EB3A-83B4-4517-83C8-E04E156DD0FB}"/>
    <cellStyle name="Moneda 18 2 11 3 2" xfId="15432" xr:uid="{53E39C75-2585-48C2-B424-6D25B42A7FF0}"/>
    <cellStyle name="Moneda 18 2 11 4" xfId="9961" xr:uid="{F47AB3F4-D792-4AE4-96A5-A2C66AB973E2}"/>
    <cellStyle name="Moneda 18 2 12" xfId="4053" xr:uid="{CE4AA0A0-F65A-4563-B1FB-81B7E626EFE3}"/>
    <cellStyle name="Moneda 18 2 12 2" xfId="11621" xr:uid="{02F1791E-7BD4-4427-9E23-0BFB1E5894BC}"/>
    <cellStyle name="Moneda 18 2 13" xfId="5383" xr:uid="{39752222-9F69-40BF-9898-3736EED7C5C4}"/>
    <cellStyle name="Moneda 18 2 13 2" xfId="12944" xr:uid="{282B8E23-6E6C-405F-9444-796D70B8385D}"/>
    <cellStyle name="Moneda 18 2 14" xfId="6787" xr:uid="{03472216-831B-4CF7-961D-13C4D73FDACB}"/>
    <cellStyle name="Moneda 18 2 14 2" xfId="14316" xr:uid="{AD30CBCA-EE09-4FB6-B1D6-06449B8AB884}"/>
    <cellStyle name="Moneda 18 2 15" xfId="8701" xr:uid="{333A7552-E778-4326-B2CB-F78232B7A553}"/>
    <cellStyle name="Moneda 18 2 2" xfId="2431" xr:uid="{C44AB4D1-1BDA-4711-9842-D0DB34986B71}"/>
    <cellStyle name="Moneda 18 2 2 10" xfId="6562" xr:uid="{ED1BE5DC-4BF2-4BC8-9341-065E433B3B8E}"/>
    <cellStyle name="Moneda 18 2 2 10 2" xfId="7961" xr:uid="{94451021-C1D4-408B-A871-F196DF3FD4FF}"/>
    <cellStyle name="Moneda 18 2 2 10 2 2" xfId="15490" xr:uid="{6EA15DF4-95A1-43F5-8FCF-2228CE1E5518}"/>
    <cellStyle name="Moneda 18 2 2 10 3" xfId="14118" xr:uid="{3B311A02-4A27-4299-A595-42B3D5880C99}"/>
    <cellStyle name="Moneda 18 2 2 11" xfId="5441" xr:uid="{10C3858D-D5F6-4FF9-815F-8EAB6A52531F}"/>
    <cellStyle name="Moneda 18 2 2 11 2" xfId="13002" xr:uid="{2BDA637E-07FF-49A2-BD04-093466A2F51E}"/>
    <cellStyle name="Moneda 18 2 2 12" xfId="6845" xr:uid="{4633DF06-EA02-4E67-98DA-2D92969087A6}"/>
    <cellStyle name="Moneda 18 2 2 12 2" xfId="14374" xr:uid="{74C0FF0D-A251-4A99-8FA7-9A31338E7C9E}"/>
    <cellStyle name="Moneda 18 2 2 13" xfId="10019" xr:uid="{FC743D77-550E-4939-9BA0-B5BB5EBD05AC}"/>
    <cellStyle name="Moneda 18 2 2 2" xfId="2555" xr:uid="{371A375E-99FF-47DE-B14A-7333B3979004}"/>
    <cellStyle name="Moneda 18 2 2 2 2" xfId="6697" xr:uid="{06145FE8-8444-450C-90E3-0FDA15609085}"/>
    <cellStyle name="Moneda 18 2 2 2 2 2" xfId="8083" xr:uid="{54F33851-7CA6-464A-81AF-53558B912915}"/>
    <cellStyle name="Moneda 18 2 2 2 2 2 2" xfId="15612" xr:uid="{37D2F093-67EA-4C56-BA4E-EA23072599BB}"/>
    <cellStyle name="Moneda 18 2 2 2 2 3" xfId="14240" xr:uid="{8C89031E-093D-4FCB-8093-EE5E77CF6DD7}"/>
    <cellStyle name="Moneda 18 2 2 2 3" xfId="5561" xr:uid="{EF16E24D-5E09-4CA2-BCD5-FBA8C87FB802}"/>
    <cellStyle name="Moneda 18 2 2 2 3 2" xfId="13122" xr:uid="{0CFBA58B-2849-4E65-AD74-96B443519CE2}"/>
    <cellStyle name="Moneda 18 2 2 2 4" xfId="6965" xr:uid="{2CC88E2B-E86D-4BC8-B9D1-1B44E97A0797}"/>
    <cellStyle name="Moneda 18 2 2 2 4 2" xfId="14494" xr:uid="{8274CA08-344A-4885-BBEA-A2049521C967}"/>
    <cellStyle name="Moneda 18 2 2 2 5" xfId="10139" xr:uid="{858D3F69-C3EF-4894-B265-C7E64B26379B}"/>
    <cellStyle name="Moneda 18 2 2 3" xfId="2676" xr:uid="{CE3703A2-9A49-4BD0-B13C-A6A83A8F1ACF}"/>
    <cellStyle name="Moneda 18 2 2 3 2" xfId="5681" xr:uid="{9B3D839B-77C5-4087-805B-D52DAF73EF6F}"/>
    <cellStyle name="Moneda 18 2 2 3 2 2" xfId="13242" xr:uid="{F8C87B14-802F-411B-825A-825A536AA586}"/>
    <cellStyle name="Moneda 18 2 2 3 3" xfId="7085" xr:uid="{0B159BA2-D3B5-4D85-B5C2-ED69168BC97C}"/>
    <cellStyle name="Moneda 18 2 2 3 3 2" xfId="14614" xr:uid="{CDE115FF-05C8-402F-AC66-4AF6FB063AE5}"/>
    <cellStyle name="Moneda 18 2 2 3 4" xfId="10259" xr:uid="{9A738128-14A8-4F4C-AC4A-36FA8D63D8EF}"/>
    <cellStyle name="Moneda 18 2 2 4" xfId="2798" xr:uid="{EF7BCA4B-C4E9-4820-B3B3-B8AC2E6C9201}"/>
    <cellStyle name="Moneda 18 2 2 4 2" xfId="5803" xr:uid="{73E9C74C-894B-4AE6-83BE-CC680B0CE1D2}"/>
    <cellStyle name="Moneda 18 2 2 4 2 2" xfId="13364" xr:uid="{E20D1BAD-974D-4CEF-B6A7-FFF38D9E283E}"/>
    <cellStyle name="Moneda 18 2 2 4 3" xfId="7207" xr:uid="{C4AA3944-4F26-4C1D-9EAE-041AC5247262}"/>
    <cellStyle name="Moneda 18 2 2 4 3 2" xfId="14736" xr:uid="{141D0B26-D0E2-4081-B449-7770D8EAA487}"/>
    <cellStyle name="Moneda 18 2 2 4 4" xfId="10381" xr:uid="{222D0517-0390-4504-B833-96B46575EE5C}"/>
    <cellStyle name="Moneda 18 2 2 5" xfId="2923" xr:uid="{606CA2A9-8131-4657-B1B6-1F76318E53FA}"/>
    <cellStyle name="Moneda 18 2 2 5 2" xfId="5927" xr:uid="{75558EF8-E4E7-4BE8-BF78-3F34AA703B3C}"/>
    <cellStyle name="Moneda 18 2 2 5 2 2" xfId="13488" xr:uid="{E18FFD63-2A1C-4FB2-B053-F5E21B381594}"/>
    <cellStyle name="Moneda 18 2 2 5 3" xfId="7331" xr:uid="{F9A8EBCA-41D2-4DFB-A0B7-975B7FF7AA69}"/>
    <cellStyle name="Moneda 18 2 2 5 3 2" xfId="14860" xr:uid="{995F048C-41BA-4D8B-8CD4-8D5EEF6841D2}"/>
    <cellStyle name="Moneda 18 2 2 5 4" xfId="10505" xr:uid="{3A1C0A6D-2971-4784-A5BE-33BD53D1F1F5}"/>
    <cellStyle name="Moneda 18 2 2 6" xfId="3047" xr:uid="{DD76E8D2-44FE-4CE9-A48E-6D62C33FD590}"/>
    <cellStyle name="Moneda 18 2 2 6 2" xfId="6051" xr:uid="{B8EB141C-9C5C-4256-AD08-F6E3FF360E16}"/>
    <cellStyle name="Moneda 18 2 2 6 2 2" xfId="13612" xr:uid="{DE375C0F-E9C7-4693-B089-E181D7C6B68F}"/>
    <cellStyle name="Moneda 18 2 2 6 3" xfId="7455" xr:uid="{787359B2-9D07-4DA8-9E7B-F6FA8B1D274B}"/>
    <cellStyle name="Moneda 18 2 2 6 3 2" xfId="14984" xr:uid="{D082AC85-9C0D-4706-931C-D004FAD87C9C}"/>
    <cellStyle name="Moneda 18 2 2 6 4" xfId="10629" xr:uid="{BAA57EA5-CFF9-498E-BF90-C3B0468BCD5E}"/>
    <cellStyle name="Moneda 18 2 2 7" xfId="3171" xr:uid="{A8CDCDD8-821A-4044-BDC0-D86E1770CD90}"/>
    <cellStyle name="Moneda 18 2 2 7 2" xfId="6175" xr:uid="{5678AC5C-9570-44FA-9C8B-095180523C4B}"/>
    <cellStyle name="Moneda 18 2 2 7 2 2" xfId="13736" xr:uid="{6A8BA46C-971A-4FD9-9C71-FDB6A55B8230}"/>
    <cellStyle name="Moneda 18 2 2 7 3" xfId="7579" xr:uid="{36EC522C-EECC-49D8-A79E-C5AFE6BAB627}"/>
    <cellStyle name="Moneda 18 2 2 7 3 2" xfId="15108" xr:uid="{81E6EAAE-B600-4F06-8E4C-437E2E2E325A}"/>
    <cellStyle name="Moneda 18 2 2 7 4" xfId="10753" xr:uid="{EDBAF7AD-737F-43B2-848E-EBCD6E74B231}"/>
    <cellStyle name="Moneda 18 2 2 8" xfId="3296" xr:uid="{946581DA-88FC-487A-AEB6-2D1EAC08A1E9}"/>
    <cellStyle name="Moneda 18 2 2 8 2" xfId="6300" xr:uid="{D6AFBF5C-94BB-4926-A9D2-F16806103CDA}"/>
    <cellStyle name="Moneda 18 2 2 8 2 2" xfId="13861" xr:uid="{41AB47F7-920C-45B7-AE7E-C7DB5D114AF4}"/>
    <cellStyle name="Moneda 18 2 2 8 3" xfId="7704" xr:uid="{2098895A-8198-4570-B264-7291F4AE0BDB}"/>
    <cellStyle name="Moneda 18 2 2 8 3 2" xfId="15233" xr:uid="{934FE5A3-0DB9-401A-990A-CE66A8174FCB}"/>
    <cellStyle name="Moneda 18 2 2 8 4" xfId="10878" xr:uid="{40A911F3-04D5-43FA-8307-BE7F13695133}"/>
    <cellStyle name="Moneda 18 2 2 9" xfId="3424" xr:uid="{F82A9F2C-EEA1-4168-A3FD-2CEDCBF5A61C}"/>
    <cellStyle name="Moneda 18 2 2 9 2" xfId="6426" xr:uid="{EF7FC2CF-077D-46C0-B84C-41F2B220B3F8}"/>
    <cellStyle name="Moneda 18 2 2 9 2 2" xfId="13987" xr:uid="{FB2AB64E-4ADA-4E32-AABB-52E78C67BDB0}"/>
    <cellStyle name="Moneda 18 2 2 9 3" xfId="7830" xr:uid="{BEAD7C30-E376-4288-BA7C-24EB3A00D2B6}"/>
    <cellStyle name="Moneda 18 2 2 9 3 2" xfId="15359" xr:uid="{B9BDB048-BB8C-4034-9C71-F556C9FB702C}"/>
    <cellStyle name="Moneda 18 2 2 9 4" xfId="11004" xr:uid="{8F17C8B9-C177-49D0-91AA-123EF1746219}"/>
    <cellStyle name="Moneda 18 2 3" xfId="2497" xr:uid="{73674DD3-289D-46AC-BB47-95B7BA50CA5F}"/>
    <cellStyle name="Moneda 18 2 3 2" xfId="6639" xr:uid="{62B43B02-3F17-4FB0-8029-84767526ED07}"/>
    <cellStyle name="Moneda 18 2 3 2 2" xfId="8025" xr:uid="{4E28D0DF-6926-4B4A-BF1B-4757D2A9A714}"/>
    <cellStyle name="Moneda 18 2 3 2 2 2" xfId="15554" xr:uid="{90C5B9AE-5487-41D6-8E6E-1F46AB42C181}"/>
    <cellStyle name="Moneda 18 2 3 2 3" xfId="14182" xr:uid="{121447FE-65E9-4C1C-AE7D-FEFB2D92ED65}"/>
    <cellStyle name="Moneda 18 2 3 3" xfId="5503" xr:uid="{C970CED3-FB51-4D10-8858-6FBE273E393A}"/>
    <cellStyle name="Moneda 18 2 3 3 2" xfId="13064" xr:uid="{9CE45B0C-9183-4FA7-8BBF-DACDD0C42F4D}"/>
    <cellStyle name="Moneda 18 2 3 4" xfId="6907" xr:uid="{D1128845-1DC3-422B-81AC-8E36ACA71C22}"/>
    <cellStyle name="Moneda 18 2 3 4 2" xfId="14436" xr:uid="{6300C926-9572-400E-BF34-CC648D6DEE31}"/>
    <cellStyle name="Moneda 18 2 3 5" xfId="10081" xr:uid="{8A3B1881-98A6-4146-8BA9-5106896D7E43}"/>
    <cellStyle name="Moneda 18 2 4" xfId="2618" xr:uid="{CB04D9FD-2FF2-4D00-AAB2-73F016CADC05}"/>
    <cellStyle name="Moneda 18 2 4 2" xfId="5623" xr:uid="{948CC5BA-75DD-490E-A690-073ED65A156E}"/>
    <cellStyle name="Moneda 18 2 4 2 2" xfId="13184" xr:uid="{406753AA-6E6C-4F7E-A422-FFCB076BA434}"/>
    <cellStyle name="Moneda 18 2 4 3" xfId="7027" xr:uid="{2EA6D988-F09B-4AEF-AB9E-84CC13D51869}"/>
    <cellStyle name="Moneda 18 2 4 3 2" xfId="14556" xr:uid="{20A2D51D-C083-495A-9B22-50D494CD6772}"/>
    <cellStyle name="Moneda 18 2 4 4" xfId="10201" xr:uid="{6DBA69EC-3F95-4077-9C70-97543385B828}"/>
    <cellStyle name="Moneda 18 2 5" xfId="2740" xr:uid="{46E720BD-D4AB-45F3-9AC7-4EFB6EED73D4}"/>
    <cellStyle name="Moneda 18 2 5 2" xfId="5745" xr:uid="{5B6F0241-812F-480A-9D63-5FD3442540C9}"/>
    <cellStyle name="Moneda 18 2 5 2 2" xfId="13306" xr:uid="{37AD9B09-EDCD-48B9-83CE-92F65A8CFC63}"/>
    <cellStyle name="Moneda 18 2 5 3" xfId="7149" xr:uid="{DE9B2F9B-D1B0-4F4F-95E1-118405E7B43F}"/>
    <cellStyle name="Moneda 18 2 5 3 2" xfId="14678" xr:uid="{9E7FAAE3-14AD-4A4D-B92A-A056C07ADD71}"/>
    <cellStyle name="Moneda 18 2 5 4" xfId="10323" xr:uid="{64E48ED4-EF85-481A-858F-CA2B81FC2DF9}"/>
    <cellStyle name="Moneda 18 2 6" xfId="2865" xr:uid="{60338F27-E37C-4255-A923-2C7074528EF6}"/>
    <cellStyle name="Moneda 18 2 6 2" xfId="5869" xr:uid="{914B5A2F-8172-4F5F-84EC-4EDECCE45B0E}"/>
    <cellStyle name="Moneda 18 2 6 2 2" xfId="13430" xr:uid="{71757F6D-34C4-4FD3-97A4-B165D66E8677}"/>
    <cellStyle name="Moneda 18 2 6 3" xfId="7273" xr:uid="{19BFD310-3CF0-4B7E-BF34-A459FC46502A}"/>
    <cellStyle name="Moneda 18 2 6 3 2" xfId="14802" xr:uid="{85D4C615-36D1-4D28-B4B5-7D2E2A091A2E}"/>
    <cellStyle name="Moneda 18 2 6 4" xfId="10447" xr:uid="{2BB31925-15E5-4A56-8BE2-5441A5EDCD7A}"/>
    <cellStyle name="Moneda 18 2 7" xfId="2989" xr:uid="{4370D409-37E0-45D8-9351-41FD70413443}"/>
    <cellStyle name="Moneda 18 2 7 2" xfId="5993" xr:uid="{01896584-CC00-482B-A4EE-6F1E386F9E0B}"/>
    <cellStyle name="Moneda 18 2 7 2 2" xfId="13554" xr:uid="{C2D478AD-9951-4BE1-B8F2-EF889CB9CA3F}"/>
    <cellStyle name="Moneda 18 2 7 3" xfId="7397" xr:uid="{D80C05C9-6080-418B-9A98-7FA89A33A882}"/>
    <cellStyle name="Moneda 18 2 7 3 2" xfId="14926" xr:uid="{4AF76D51-D7F7-4C68-8681-3743CFF03A0F}"/>
    <cellStyle name="Moneda 18 2 7 4" xfId="10571" xr:uid="{21C08C56-2CF6-404C-A8DA-BD907399EFA5}"/>
    <cellStyle name="Moneda 18 2 8" xfId="3113" xr:uid="{C234B0D9-210D-469C-A176-70F55D808805}"/>
    <cellStyle name="Moneda 18 2 8 2" xfId="6117" xr:uid="{76DBABA6-0543-4441-A83F-9109A7C700F3}"/>
    <cellStyle name="Moneda 18 2 8 2 2" xfId="13678" xr:uid="{65DF3D09-7623-43CD-9418-0B353B5F3F1D}"/>
    <cellStyle name="Moneda 18 2 8 3" xfId="7521" xr:uid="{79CA1E1C-FE82-4840-A536-9777761ACD19}"/>
    <cellStyle name="Moneda 18 2 8 3 2" xfId="15050" xr:uid="{43226FAC-B5E1-4E1B-BCC6-55266AC2CBFB}"/>
    <cellStyle name="Moneda 18 2 8 4" xfId="10695" xr:uid="{0BF9DA07-6000-4F76-9922-482D921F6C3D}"/>
    <cellStyle name="Moneda 18 2 9" xfId="3238" xr:uid="{A8B0D4AA-91A6-4472-97CC-BEE1C1A63F90}"/>
    <cellStyle name="Moneda 18 2 9 2" xfId="6242" xr:uid="{925AB792-6345-4E27-AF5D-609AD500A5AC}"/>
    <cellStyle name="Moneda 18 2 9 2 2" xfId="13803" xr:uid="{3EE53501-DD68-4F50-8E53-1E59EFE2835B}"/>
    <cellStyle name="Moneda 18 2 9 3" xfId="7646" xr:uid="{309CC2E8-3F8A-496E-8D18-BE95C72D3EDD}"/>
    <cellStyle name="Moneda 18 2 9 3 2" xfId="15175" xr:uid="{5237C3E3-5412-4306-A151-9595F8F56D08}"/>
    <cellStyle name="Moneda 18 2 9 4" xfId="10820" xr:uid="{BB663835-D879-4D55-A038-5AC0F8C15357}"/>
    <cellStyle name="Moneda 18 3" xfId="1457" xr:uid="{47AA9173-A75B-45C7-AA05-27890D8E5858}"/>
    <cellStyle name="Moneda 18 3 10" xfId="2401" xr:uid="{EB72EE93-63D3-45AE-86EF-80BDAABB5204}"/>
    <cellStyle name="Moneda 18 3 10 2" xfId="6532" xr:uid="{183F24D4-A3AD-47F8-94A8-9180C6AD8B58}"/>
    <cellStyle name="Moneda 18 3 10 2 2" xfId="14088" xr:uid="{93FB44CF-B80D-41BF-AA6F-4701FDE19ED4}"/>
    <cellStyle name="Moneda 18 3 10 3" xfId="7931" xr:uid="{735A8FE7-F976-479D-A122-9D9FFADF8351}"/>
    <cellStyle name="Moneda 18 3 10 3 2" xfId="15460" xr:uid="{1FA5161F-F02D-4A9C-822F-4C0875339F88}"/>
    <cellStyle name="Moneda 18 3 10 4" xfId="9989" xr:uid="{D25190C5-E47F-4047-BC49-0F0C4F073420}"/>
    <cellStyle name="Moneda 18 3 11" xfId="4417" xr:uid="{08AB3420-9913-4E22-B53A-FA123127C957}"/>
    <cellStyle name="Moneda 18 3 11 2" xfId="11985" xr:uid="{0985D795-8CAC-4FDC-956A-3AE249B1B9EE}"/>
    <cellStyle name="Moneda 18 3 12" xfId="5411" xr:uid="{F82B3A91-96EF-4F4F-9A08-B89C68CBAC13}"/>
    <cellStyle name="Moneda 18 3 12 2" xfId="12972" xr:uid="{E4E5C15A-BCDB-4C9D-A0CB-C80E774A06FE}"/>
    <cellStyle name="Moneda 18 3 13" xfId="6815" xr:uid="{7C1D32E2-BC5C-429A-8A1B-DD1F93D243C9}"/>
    <cellStyle name="Moneda 18 3 13 2" xfId="14344" xr:uid="{ECBB62AF-F97F-4E55-882F-89334EE0FFED}"/>
    <cellStyle name="Moneda 18 3 14" xfId="9065" xr:uid="{C57588CC-5F70-4874-B843-378664E10018}"/>
    <cellStyle name="Moneda 18 3 2" xfId="2525" xr:uid="{2E294811-846F-4102-A0D0-958FF8CEF1F1}"/>
    <cellStyle name="Moneda 18 3 2 2" xfId="6667" xr:uid="{C0ACCDA0-BE05-4FF4-A77C-6A613930CABF}"/>
    <cellStyle name="Moneda 18 3 2 2 2" xfId="8053" xr:uid="{0465E82E-20F4-4952-8101-303F4F686124}"/>
    <cellStyle name="Moneda 18 3 2 2 2 2" xfId="15582" xr:uid="{32DAD235-7C73-4175-9F25-7ED12F2584D7}"/>
    <cellStyle name="Moneda 18 3 2 2 3" xfId="14210" xr:uid="{8A9A6B63-8623-4E0D-8BF7-C54A225556CB}"/>
    <cellStyle name="Moneda 18 3 2 3" xfId="5531" xr:uid="{C1421100-B730-4761-9DDB-6D990FA73097}"/>
    <cellStyle name="Moneda 18 3 2 3 2" xfId="13092" xr:uid="{9A0F5C95-6478-46DD-A1EB-3C27E95004D9}"/>
    <cellStyle name="Moneda 18 3 2 4" xfId="6935" xr:uid="{E00A36DF-7336-4785-A91B-2F0791612847}"/>
    <cellStyle name="Moneda 18 3 2 4 2" xfId="14464" xr:uid="{568A24CD-BD44-4E51-BB13-40A8414B9229}"/>
    <cellStyle name="Moneda 18 3 2 5" xfId="10109" xr:uid="{61A47494-15F0-48A6-8612-1B8BBAD9A67F}"/>
    <cellStyle name="Moneda 18 3 3" xfId="2646" xr:uid="{B3037853-53E4-457F-A405-620C59FAA239}"/>
    <cellStyle name="Moneda 18 3 3 2" xfId="5651" xr:uid="{4EAC7CBD-9785-48B5-B3A2-860FB91510F0}"/>
    <cellStyle name="Moneda 18 3 3 2 2" xfId="13212" xr:uid="{F212236D-17AA-4A38-8ECE-5095822FB65E}"/>
    <cellStyle name="Moneda 18 3 3 3" xfId="7055" xr:uid="{A0DD7CD5-5D9A-4941-938A-5BEAF0C2119F}"/>
    <cellStyle name="Moneda 18 3 3 3 2" xfId="14584" xr:uid="{2B966EAB-C9C7-4816-861E-773B4F76224B}"/>
    <cellStyle name="Moneda 18 3 3 4" xfId="10229" xr:uid="{7A196506-9844-4C57-A112-2D4D1EA8072E}"/>
    <cellStyle name="Moneda 18 3 4" xfId="2768" xr:uid="{B6600E54-3238-4DB9-A434-8FADFBB8BDEC}"/>
    <cellStyle name="Moneda 18 3 4 2" xfId="5773" xr:uid="{6626D3DF-DB22-4B71-B5C1-09CA9FBE18BF}"/>
    <cellStyle name="Moneda 18 3 4 2 2" xfId="13334" xr:uid="{EED0030D-B5E0-44E9-BD44-55A2BEA54710}"/>
    <cellStyle name="Moneda 18 3 4 3" xfId="7177" xr:uid="{206F08CC-140B-46C9-8F29-945904208552}"/>
    <cellStyle name="Moneda 18 3 4 3 2" xfId="14706" xr:uid="{1E79291D-4FA0-41E8-ADC9-2DF0CE5718FE}"/>
    <cellStyle name="Moneda 18 3 4 4" xfId="10351" xr:uid="{66EC65E2-3731-4354-A4E4-AF3763B07D6F}"/>
    <cellStyle name="Moneda 18 3 5" xfId="2893" xr:uid="{841ECD59-B419-4255-8E01-A82E07960808}"/>
    <cellStyle name="Moneda 18 3 5 2" xfId="5897" xr:uid="{3F88A78F-7885-4187-B387-A5BFE2C3F861}"/>
    <cellStyle name="Moneda 18 3 5 2 2" xfId="13458" xr:uid="{1ED618F7-D324-476C-BB08-BABD304A6626}"/>
    <cellStyle name="Moneda 18 3 5 3" xfId="7301" xr:uid="{167D36E6-EEAE-4A9B-B986-AA82EA252604}"/>
    <cellStyle name="Moneda 18 3 5 3 2" xfId="14830" xr:uid="{123B63C4-DA51-42BD-9471-0F85366A2D60}"/>
    <cellStyle name="Moneda 18 3 5 4" xfId="10475" xr:uid="{449CF020-5931-4A93-A24B-C6B9FEBF1E42}"/>
    <cellStyle name="Moneda 18 3 6" xfId="3017" xr:uid="{433D3E0F-1E14-48B5-B9C9-20CBCB2806DA}"/>
    <cellStyle name="Moneda 18 3 6 2" xfId="6021" xr:uid="{FA6F4066-88DF-45B0-8306-C20ED0AB87DD}"/>
    <cellStyle name="Moneda 18 3 6 2 2" xfId="13582" xr:uid="{A0229915-A76A-4C0F-A8D0-8050F9132683}"/>
    <cellStyle name="Moneda 18 3 6 3" xfId="7425" xr:uid="{F3722BCA-C08E-4F24-BE6C-65CD3D212C8B}"/>
    <cellStyle name="Moneda 18 3 6 3 2" xfId="14954" xr:uid="{BE60FDD3-6BE1-4A8F-A9C7-6823ED79733F}"/>
    <cellStyle name="Moneda 18 3 6 4" xfId="10599" xr:uid="{9DAFBAEA-B8BE-48E6-B329-90D093552742}"/>
    <cellStyle name="Moneda 18 3 7" xfId="3141" xr:uid="{C5729DBC-2C9E-4FDB-B9DE-AE744C300D2B}"/>
    <cellStyle name="Moneda 18 3 7 2" xfId="6145" xr:uid="{257AAC42-0B45-4F96-B3C7-1FB304BD7FD8}"/>
    <cellStyle name="Moneda 18 3 7 2 2" xfId="13706" xr:uid="{3DC9EDA8-5133-4AC0-B852-C0E660B40592}"/>
    <cellStyle name="Moneda 18 3 7 3" xfId="7549" xr:uid="{4D1D84B5-7DF5-4C6A-9D17-2E9FCC313370}"/>
    <cellStyle name="Moneda 18 3 7 3 2" xfId="15078" xr:uid="{D383649B-7DA2-485D-AFBE-A2B311D0C756}"/>
    <cellStyle name="Moneda 18 3 7 4" xfId="10723" xr:uid="{451B2AD0-3651-4B2B-937E-7F30632B5BBD}"/>
    <cellStyle name="Moneda 18 3 8" xfId="3266" xr:uid="{EC44B282-D963-47A7-8558-788244BA6866}"/>
    <cellStyle name="Moneda 18 3 8 2" xfId="6270" xr:uid="{3E848955-27BE-4FF9-8317-7B4EC62D8CAF}"/>
    <cellStyle name="Moneda 18 3 8 2 2" xfId="13831" xr:uid="{1F65B07F-91C0-4D3E-9529-EC1C5CFEC818}"/>
    <cellStyle name="Moneda 18 3 8 3" xfId="7674" xr:uid="{6DE102A3-BCE4-4522-8BF2-DF03A18C8BC7}"/>
    <cellStyle name="Moneda 18 3 8 3 2" xfId="15203" xr:uid="{0386B168-4576-43E0-B877-F620616855FA}"/>
    <cellStyle name="Moneda 18 3 8 4" xfId="10848" xr:uid="{302013AF-1B35-4C72-8F7C-D3961F46AB9B}"/>
    <cellStyle name="Moneda 18 3 9" xfId="3394" xr:uid="{BA4BF6AE-6321-48F1-B428-D40584014C8D}"/>
    <cellStyle name="Moneda 18 3 9 2" xfId="6396" xr:uid="{833CF677-378E-4EA4-88E9-F23B8C99BC20}"/>
    <cellStyle name="Moneda 18 3 9 2 2" xfId="13957" xr:uid="{EE0092A8-892D-4195-B0B5-CFFD2F07ADEE}"/>
    <cellStyle name="Moneda 18 3 9 3" xfId="7800" xr:uid="{236D2BBF-C537-4460-A832-3558EF0CAD02}"/>
    <cellStyle name="Moneda 18 3 9 3 2" xfId="15329" xr:uid="{30472BF0-C260-4338-B157-A3559D0B219D}"/>
    <cellStyle name="Moneda 18 3 9 4" xfId="10974" xr:uid="{9961D11B-CA3F-49C3-A95B-8276055F76E3}"/>
    <cellStyle name="Moneda 18 4" xfId="1836" xr:uid="{7329AF03-114C-4257-BD47-7287AA8656B6}"/>
    <cellStyle name="Moneda 18 4 2" xfId="2466" xr:uid="{1A6727D8-1FE3-4320-AE2A-822F6CFBB98F}"/>
    <cellStyle name="Moneda 18 4 2 2" xfId="6609" xr:uid="{AB08E4B4-441D-4DF2-B20E-FF24091F57A3}"/>
    <cellStyle name="Moneda 18 4 2 2 2" xfId="14152" xr:uid="{2C7AAA05-6AEA-4462-89B6-66BB00B8402A}"/>
    <cellStyle name="Moneda 18 4 2 3" xfId="7995" xr:uid="{D9F03A68-4247-4096-9EE3-D8F4F1BACE43}"/>
    <cellStyle name="Moneda 18 4 2 3 2" xfId="15524" xr:uid="{21077613-83B0-421B-8F2F-290C3052675F}"/>
    <cellStyle name="Moneda 18 4 2 4" xfId="10050" xr:uid="{0BE8007A-C864-46A2-A406-F71C47BA17B5}"/>
    <cellStyle name="Moneda 18 4 3" xfId="4795" xr:uid="{89D29314-BDE1-4692-BA54-D39BFAE67808}"/>
    <cellStyle name="Moneda 18 4 3 2" xfId="12363" xr:uid="{D1B52AC3-7C18-454A-9E5E-2D91C1E2B581}"/>
    <cellStyle name="Moneda 18 4 4" xfId="5472" xr:uid="{716EF999-FC30-47E0-B1ED-3C02B9D95AA5}"/>
    <cellStyle name="Moneda 18 4 4 2" xfId="13033" xr:uid="{4FCBBADB-1190-4166-A7F1-F8F5BCBFEAAB}"/>
    <cellStyle name="Moneda 18 4 5" xfId="6876" xr:uid="{59B39913-B366-4E76-A32E-BA4F9D1A9BE9}"/>
    <cellStyle name="Moneda 18 4 5 2" xfId="14405" xr:uid="{D9590726-19B1-4239-9151-906ACC7731DB}"/>
    <cellStyle name="Moneda 18 4 6" xfId="9443" xr:uid="{BCAD1053-AE3E-4BF9-82FC-1BA3D2404645}"/>
    <cellStyle name="Moneda 18 5" xfId="2588" xr:uid="{ECA8F956-EBA8-4DBD-A63A-9427C1799240}"/>
    <cellStyle name="Moneda 18 5 2" xfId="5593" xr:uid="{35A8F2F7-13FF-4B97-B73C-00942B1F572D}"/>
    <cellStyle name="Moneda 18 5 2 2" xfId="13154" xr:uid="{C732570A-BCD9-4C64-BAB0-6182D4E1E955}"/>
    <cellStyle name="Moneda 18 5 3" xfId="6997" xr:uid="{93E3063A-4B25-47BD-92D8-E1D36E938C81}"/>
    <cellStyle name="Moneda 18 5 3 2" xfId="14526" xr:uid="{EF1BD4A8-B54C-4734-91AE-0A4E501471A6}"/>
    <cellStyle name="Moneda 18 5 4" xfId="10171" xr:uid="{170411FA-25D9-4BA8-A7E7-74CFB82D00CB}"/>
    <cellStyle name="Moneda 18 6" xfId="2710" xr:uid="{F2702C3E-4FAA-4645-BED1-8A1A52753650}"/>
    <cellStyle name="Moneda 18 6 2" xfId="5715" xr:uid="{F35DDFFE-A8A1-4543-A9DD-8DD00EE56258}"/>
    <cellStyle name="Moneda 18 6 2 2" xfId="13276" xr:uid="{A954EBB3-7A84-4DD7-90EB-8EE1A30D1610}"/>
    <cellStyle name="Moneda 18 6 3" xfId="7119" xr:uid="{FB909113-8A0C-48ED-AFBC-BCBA5F0EA5ED}"/>
    <cellStyle name="Moneda 18 6 3 2" xfId="14648" xr:uid="{1C5539BD-CE49-4F0D-8D7F-FB03C2489A26}"/>
    <cellStyle name="Moneda 18 6 4" xfId="10293" xr:uid="{A5913B55-430B-4EC8-BF4B-79CA9267F2CB}"/>
    <cellStyle name="Moneda 18 7" xfId="2835" xr:uid="{68DAD2AA-A61B-412E-A9C3-161CE9BEAA83}"/>
    <cellStyle name="Moneda 18 7 2" xfId="5839" xr:uid="{8CE290BD-EBCA-4393-94C7-00BA2A767F8F}"/>
    <cellStyle name="Moneda 18 7 2 2" xfId="13400" xr:uid="{39BCFD98-F21D-40D1-B8C9-8F69C016360E}"/>
    <cellStyle name="Moneda 18 7 3" xfId="7243" xr:uid="{1861C1A0-3BF4-4F91-A682-A0D101FC0A62}"/>
    <cellStyle name="Moneda 18 7 3 2" xfId="14772" xr:uid="{11E0E49B-C651-4BD3-837C-BE1EDA6CAAFA}"/>
    <cellStyle name="Moneda 18 7 4" xfId="10417" xr:uid="{8BB9087D-C63A-4955-9D02-CB9D6E8DA17A}"/>
    <cellStyle name="Moneda 18 8" xfId="2959" xr:uid="{59C5131C-0609-43FB-94C7-1FAF37E23319}"/>
    <cellStyle name="Moneda 18 8 2" xfId="5963" xr:uid="{511D9C73-3A61-4F27-A9EC-0F53E8867857}"/>
    <cellStyle name="Moneda 18 8 2 2" xfId="13524" xr:uid="{8CDB2191-4028-4B5D-8A67-9D281D7055DA}"/>
    <cellStyle name="Moneda 18 8 3" xfId="7367" xr:uid="{08451C55-B623-4494-9735-AB5998BC0506}"/>
    <cellStyle name="Moneda 18 8 3 2" xfId="14896" xr:uid="{1E26FD0C-406E-474E-A1D3-734373288BCC}"/>
    <cellStyle name="Moneda 18 8 4" xfId="10541" xr:uid="{0E12334C-A8EA-4E57-BE22-3361A1E70787}"/>
    <cellStyle name="Moneda 18 9" xfId="3083" xr:uid="{A207C268-34C3-4983-B435-DCEEEB6B366E}"/>
    <cellStyle name="Moneda 18 9 2" xfId="6087" xr:uid="{C720E4D2-F15E-48CB-99C8-1BA45143499E}"/>
    <cellStyle name="Moneda 18 9 2 2" xfId="13648" xr:uid="{F3B33DC0-77ED-479C-A405-1E207C9E0257}"/>
    <cellStyle name="Moneda 18 9 3" xfId="7491" xr:uid="{BF0BB6E0-FE0B-410A-8C0B-2E5319C1425A}"/>
    <cellStyle name="Moneda 18 9 3 2" xfId="15020" xr:uid="{7E3A2613-64CB-41C4-AA48-8C7CED43F5AB}"/>
    <cellStyle name="Moneda 18 9 4" xfId="10665" xr:uid="{80161B4B-5598-4C80-996C-B4CCF54334C1}"/>
    <cellStyle name="Moneda 180" xfId="725" xr:uid="{A9A766BA-06E4-41CA-AA38-81FF599126D7}"/>
    <cellStyle name="Moneda 180 2" xfId="1781" xr:uid="{B08707FB-6D0C-4DC8-AB19-A407FF76A585}"/>
    <cellStyle name="Moneda 180 2 2" xfId="4741" xr:uid="{B9A31ADB-E531-431E-B676-D483E7F18AAA}"/>
    <cellStyle name="Moneda 180 2 2 2" xfId="12309" xr:uid="{B59B212C-FAD7-4B18-81A4-F3A9F622BFFB}"/>
    <cellStyle name="Moneda 180 2 3" xfId="9389" xr:uid="{CDDBEFFD-8784-4FBC-B7D7-79F37428977B}"/>
    <cellStyle name="Moneda 180 3" xfId="2160" xr:uid="{819F2FB5-FE23-4FAE-BCF8-1EEEA079EC87}"/>
    <cellStyle name="Moneda 180 3 2" xfId="5119" xr:uid="{E3C98EF3-AB95-49D6-A14F-EDCC58344ECB}"/>
    <cellStyle name="Moneda 180 3 2 2" xfId="12687" xr:uid="{7DE10A2A-0E44-4DCF-8C50-9FD0A619AB2A}"/>
    <cellStyle name="Moneda 180 3 3" xfId="9767" xr:uid="{23EB509C-B9CD-497E-AA83-F36CCEAC1407}"/>
    <cellStyle name="Moneda 180 4" xfId="3846" xr:uid="{5BC20AE3-C5BA-4358-BACD-6718D2EE8A87}"/>
    <cellStyle name="Moneda 180 4 2" xfId="11414" xr:uid="{9B814D18-86C4-42ED-BA47-3BDD2839FC5E}"/>
    <cellStyle name="Moneda 180 5" xfId="8494" xr:uid="{0F6FEE63-CA07-4D93-AE1F-CD87FAE97BD0}"/>
    <cellStyle name="Moneda 181" xfId="728" xr:uid="{80F4880C-4A69-4576-9089-11B36E15CC7D}"/>
    <cellStyle name="Moneda 181 2" xfId="1783" xr:uid="{FB369B27-2F1C-45E0-9BB2-2F1557D131E1}"/>
    <cellStyle name="Moneda 181 2 2" xfId="4743" xr:uid="{87F5D0AA-C336-4A0C-A95C-1FD16BC1BEDC}"/>
    <cellStyle name="Moneda 181 2 2 2" xfId="12311" xr:uid="{9C8E5C1D-488E-4F95-B96E-35AD8CE64E05}"/>
    <cellStyle name="Moneda 181 2 3" xfId="9391" xr:uid="{8700A721-BDF2-458C-B4D5-DDEFD784F4DF}"/>
    <cellStyle name="Moneda 181 3" xfId="2162" xr:uid="{9771464D-4914-4C14-98DF-6FE3DABF62B8}"/>
    <cellStyle name="Moneda 181 3 2" xfId="5121" xr:uid="{FB3B77AE-7CF2-4346-B178-3CF851BDC677}"/>
    <cellStyle name="Moneda 181 3 2 2" xfId="12689" xr:uid="{5676B99E-D869-45F6-AE48-FF73DD355E39}"/>
    <cellStyle name="Moneda 181 3 3" xfId="9769" xr:uid="{DAC0EA17-95A1-4A67-ABCE-18407326D0C6}"/>
    <cellStyle name="Moneda 181 4" xfId="3848" xr:uid="{00C8796B-C75B-48D7-956F-7D11E4B64A68}"/>
    <cellStyle name="Moneda 181 4 2" xfId="11416" xr:uid="{BBA7D688-8F80-4481-B55E-BCB8237B5402}"/>
    <cellStyle name="Moneda 181 5" xfId="8496" xr:uid="{D74EBE36-8C8A-4A55-BFD4-6BA24E9D9BD5}"/>
    <cellStyle name="Moneda 182" xfId="731" xr:uid="{7823FDC1-D857-4AA9-8847-710DB697F074}"/>
    <cellStyle name="Moneda 182 2" xfId="1790" xr:uid="{96D2D0DE-27CA-4DE6-805E-CF7C1C4021FD}"/>
    <cellStyle name="Moneda 182 2 2" xfId="4749" xr:uid="{F980A8A0-475E-47A2-B746-3A45DD520A4E}"/>
    <cellStyle name="Moneda 182 2 2 2" xfId="12317" xr:uid="{AD307678-3728-4167-A81A-A44EDAD563F6}"/>
    <cellStyle name="Moneda 182 2 3" xfId="9397" xr:uid="{49231A21-0654-4E03-B192-78610B98F7F1}"/>
    <cellStyle name="Moneda 182 3" xfId="2164" xr:uid="{A7B507DD-AB82-4CB4-8EEB-1FED9CE96812}"/>
    <cellStyle name="Moneda 182 3 2" xfId="5123" xr:uid="{E2BE8EDE-FE6D-4448-9068-F0E34246A551}"/>
    <cellStyle name="Moneda 182 3 2 2" xfId="12691" xr:uid="{4BCEFF4A-8E62-46DC-86D8-67AEA11901F6}"/>
    <cellStyle name="Moneda 182 3 3" xfId="9771" xr:uid="{1971BCB4-657C-45DB-B344-8E9284F024FD}"/>
    <cellStyle name="Moneda 182 4" xfId="3850" xr:uid="{019EBBDC-2756-45B4-B7B7-7E36F4BA3D92}"/>
    <cellStyle name="Moneda 182 4 2" xfId="11418" xr:uid="{AA3F6BC9-9BA8-4AB1-9FAB-A3AF60AB5165}"/>
    <cellStyle name="Moneda 182 5" xfId="8498" xr:uid="{62224F5B-AEE6-4902-8C73-8ABD0081E904}"/>
    <cellStyle name="Moneda 183" xfId="734" xr:uid="{BFAC6F22-EC4E-42CF-8052-F625431A6CE5}"/>
    <cellStyle name="Moneda 183 2" xfId="1792" xr:uid="{CE815BAE-C2F3-44BE-A213-4D38B74D855E}"/>
    <cellStyle name="Moneda 183 2 2" xfId="4751" xr:uid="{6AEC76B1-9FE3-4EED-A0CE-6D5D56D44587}"/>
    <cellStyle name="Moneda 183 2 2 2" xfId="12319" xr:uid="{4B2C3C98-BBF7-435A-8355-A6ECB0ACEAFB}"/>
    <cellStyle name="Moneda 183 2 3" xfId="9399" xr:uid="{3DFA9E41-05B6-419C-9F96-9A93AF40D9BA}"/>
    <cellStyle name="Moneda 183 3" xfId="2166" xr:uid="{FF9FF241-86A5-4F63-96D7-E8F741C1C2B5}"/>
    <cellStyle name="Moneda 183 3 2" xfId="5125" xr:uid="{EF892F34-56A1-49AE-9841-D27DF23AA700}"/>
    <cellStyle name="Moneda 183 3 2 2" xfId="12693" xr:uid="{33409D0B-42E5-4124-8D53-D36E6ECFCE41}"/>
    <cellStyle name="Moneda 183 3 3" xfId="9773" xr:uid="{F7A745BA-40BE-4178-9060-21D4331D95E9}"/>
    <cellStyle name="Moneda 183 4" xfId="3852" xr:uid="{39E60AB6-971D-4AF8-B896-7423DCA28631}"/>
    <cellStyle name="Moneda 183 4 2" xfId="11420" xr:uid="{8FBDE107-699E-413D-B277-D99FDBC560A6}"/>
    <cellStyle name="Moneda 183 5" xfId="8500" xr:uid="{19935F30-8A4D-4D81-AAC0-0C46C9F01256}"/>
    <cellStyle name="Moneda 184" xfId="737" xr:uid="{0CA135B0-8C3A-4A0A-B110-FD0B1F0DA8C0}"/>
    <cellStyle name="Moneda 184 2" xfId="1794" xr:uid="{59094A80-220B-4828-8302-FE8DFF100619}"/>
    <cellStyle name="Moneda 184 2 2" xfId="4753" xr:uid="{E35D347E-067E-46EB-961B-4735D9EA1F61}"/>
    <cellStyle name="Moneda 184 2 2 2" xfId="12321" xr:uid="{951729DF-5069-4ABF-9510-C6EF965AFE33}"/>
    <cellStyle name="Moneda 184 2 3" xfId="9401" xr:uid="{41B30000-C2FF-44B1-A0A9-3674078DEB07}"/>
    <cellStyle name="Moneda 184 3" xfId="2168" xr:uid="{6B840913-646A-4C7A-B61C-5C274A371260}"/>
    <cellStyle name="Moneda 184 3 2" xfId="5127" xr:uid="{FB86C07C-F24B-4A62-A2B8-B05B50E48A88}"/>
    <cellStyle name="Moneda 184 3 2 2" xfId="12695" xr:uid="{5D2C1BB6-CA73-4B0F-89EC-C9D6FF455FA0}"/>
    <cellStyle name="Moneda 184 3 3" xfId="9775" xr:uid="{FBA8639E-8BFE-4C40-A02D-B9962E88775B}"/>
    <cellStyle name="Moneda 184 4" xfId="3854" xr:uid="{EFEBC8C3-4C10-43B8-A9FD-748CA55FE8CE}"/>
    <cellStyle name="Moneda 184 4 2" xfId="11422" xr:uid="{1E6644ED-97E3-4D92-A1A1-BB3601F5CB5B}"/>
    <cellStyle name="Moneda 184 5" xfId="8502" xr:uid="{520BCC97-A552-4ABC-82F2-BCEBBA41E4D2}"/>
    <cellStyle name="Moneda 185" xfId="740" xr:uid="{776CAA90-5DD4-441C-A3CA-3474ABA1C829}"/>
    <cellStyle name="Moneda 185 2" xfId="1796" xr:uid="{02554659-2392-4DED-A8C1-7BC3D7E88BEC}"/>
    <cellStyle name="Moneda 185 2 2" xfId="4755" xr:uid="{DFF2897B-E483-4799-835A-9BB7C64E0A68}"/>
    <cellStyle name="Moneda 185 2 2 2" xfId="12323" xr:uid="{79715F3D-1DA1-48A1-9866-02AECC43692C}"/>
    <cellStyle name="Moneda 185 2 3" xfId="9403" xr:uid="{A6C1CF53-1670-4A28-8EEE-946B4A6322BD}"/>
    <cellStyle name="Moneda 185 3" xfId="2170" xr:uid="{C6FE0CD0-1A9B-4EAE-BCB6-25D95D877B98}"/>
    <cellStyle name="Moneda 185 3 2" xfId="5129" xr:uid="{7726CF14-1725-4B04-85DF-3C8D13F3D8C6}"/>
    <cellStyle name="Moneda 185 3 2 2" xfId="12697" xr:uid="{05CC397C-D513-4D45-980F-3D76C3CAC10B}"/>
    <cellStyle name="Moneda 185 3 3" xfId="9777" xr:uid="{798BA81B-E357-4BA5-8339-B16EA81D8B86}"/>
    <cellStyle name="Moneda 185 4" xfId="3856" xr:uid="{8E6EFF89-22B6-475C-A55A-D795998D7124}"/>
    <cellStyle name="Moneda 185 4 2" xfId="11424" xr:uid="{AB39D94E-F3FE-4C51-9E6C-EADAD54CAFD3}"/>
    <cellStyle name="Moneda 185 5" xfId="8504" xr:uid="{A5B41211-DB61-4FAD-88CA-525C3D83FB90}"/>
    <cellStyle name="Moneda 186" xfId="743" xr:uid="{5DA1F345-0290-45D1-9807-1C729DAFBF1E}"/>
    <cellStyle name="Moneda 186 2" xfId="1798" xr:uid="{0C86ACEC-71A3-4950-9E70-7F3C5A6CF9D8}"/>
    <cellStyle name="Moneda 186 2 2" xfId="4757" xr:uid="{DACD2217-1751-4352-8D6F-0433D6EFC284}"/>
    <cellStyle name="Moneda 186 2 2 2" xfId="12325" xr:uid="{C76D262E-05A5-45FD-8804-08D4CE2A064E}"/>
    <cellStyle name="Moneda 186 2 3" xfId="9405" xr:uid="{9F180450-16F0-419C-92A6-887C76623E70}"/>
    <cellStyle name="Moneda 186 3" xfId="2172" xr:uid="{9D9D2958-9371-4B87-93FD-16FE5FAFF57D}"/>
    <cellStyle name="Moneda 186 3 2" xfId="5131" xr:uid="{BB230924-04B4-4381-A116-9D815628A3EB}"/>
    <cellStyle name="Moneda 186 3 2 2" xfId="12699" xr:uid="{F4F7BC63-ACE8-4319-8409-E18BA59C1B80}"/>
    <cellStyle name="Moneda 186 3 3" xfId="9779" xr:uid="{1EFDBA6E-8571-4506-A59E-6C716975AD29}"/>
    <cellStyle name="Moneda 186 4" xfId="3858" xr:uid="{FEF24310-2A6A-46F6-B455-3D5CE3145EA0}"/>
    <cellStyle name="Moneda 186 4 2" xfId="11426" xr:uid="{27538B1E-6789-41B1-81C5-40CBA4094CD4}"/>
    <cellStyle name="Moneda 186 5" xfId="8506" xr:uid="{4CD049F7-01F8-46EF-8923-562A38CA0346}"/>
    <cellStyle name="Moneda 187" xfId="746" xr:uid="{498DF795-560B-4C45-8867-E8E846BDFDD8}"/>
    <cellStyle name="Moneda 187 2" xfId="1800" xr:uid="{13CD69BC-7364-4673-B953-98EE4A139752}"/>
    <cellStyle name="Moneda 187 2 2" xfId="4759" xr:uid="{4C195A84-9FD2-43CB-A97F-0328CADBAA24}"/>
    <cellStyle name="Moneda 187 2 2 2" xfId="12327" xr:uid="{B1018048-20B4-4C12-A33F-92FCD638080A}"/>
    <cellStyle name="Moneda 187 2 3" xfId="9407" xr:uid="{77BABAFA-A4F5-4D71-BFED-379881673960}"/>
    <cellStyle name="Moneda 187 3" xfId="2174" xr:uid="{E00D435F-4BAC-4B2A-86A8-1C44EB5B3739}"/>
    <cellStyle name="Moneda 187 3 2" xfId="5133" xr:uid="{9E979E42-E506-4DE6-BE7E-E267C7414477}"/>
    <cellStyle name="Moneda 187 3 2 2" xfId="12701" xr:uid="{0566D31D-17BE-4E9A-93E2-EA98DC4F5AA9}"/>
    <cellStyle name="Moneda 187 3 3" xfId="9781" xr:uid="{E26F7642-2FAC-4189-9BE3-5C75DB9C0AC1}"/>
    <cellStyle name="Moneda 187 4" xfId="3860" xr:uid="{CF85C28F-0B48-4FA1-BA4E-C9CB4E8645EE}"/>
    <cellStyle name="Moneda 187 4 2" xfId="11428" xr:uid="{08473772-F0C7-4736-9B1C-F6409D6B0140}"/>
    <cellStyle name="Moneda 187 5" xfId="8508" xr:uid="{C30B43BA-1575-4184-BA4D-06FD6E3334E2}"/>
    <cellStyle name="Moneda 188" xfId="749" xr:uid="{7538CD90-DCAF-4A2F-8689-6C3540AC2527}"/>
    <cellStyle name="Moneda 188 2" xfId="2176" xr:uid="{EC779A9C-AE69-4557-B33E-1D5BB424E027}"/>
    <cellStyle name="Moneda 188 2 2" xfId="5135" xr:uid="{1907CA4F-CD3C-4B19-A065-50CDDF4C6D38}"/>
    <cellStyle name="Moneda 188 2 2 2" xfId="12703" xr:uid="{02918525-D53F-49F9-BEFC-737D27EA7286}"/>
    <cellStyle name="Moneda 188 2 3" xfId="9783" xr:uid="{BD43C5A1-B727-45EB-A95E-7E2D7BC1124E}"/>
    <cellStyle name="Moneda 188 3" xfId="3862" xr:uid="{21004131-6138-49F2-9D4E-63EEB17C6756}"/>
    <cellStyle name="Moneda 188 3 2" xfId="11430" xr:uid="{9AABF1F3-4189-4BAF-B3D1-5A08EF6ACDE3}"/>
    <cellStyle name="Moneda 188 4" xfId="8510" xr:uid="{DEA1C71F-0F73-464B-8B63-A0F6DD640AB3}"/>
    <cellStyle name="Moneda 189" xfId="752" xr:uid="{260241F1-67C0-4484-9B1C-72ABC4B998B3}"/>
    <cellStyle name="Moneda 189 2" xfId="2178" xr:uid="{1920BBB0-5D02-48A5-954E-72386D0604F2}"/>
    <cellStyle name="Moneda 189 2 2" xfId="5137" xr:uid="{4F044181-12E0-4AEC-BC5F-041D47E2B812}"/>
    <cellStyle name="Moneda 189 2 2 2" xfId="12705" xr:uid="{E4818BE0-A5A9-4C19-841D-8D04243E2EDC}"/>
    <cellStyle name="Moneda 189 2 3" xfId="9785" xr:uid="{CD7CC26F-99E9-4E53-8936-4A22E7FDEA2F}"/>
    <cellStyle name="Moneda 189 3" xfId="3864" xr:uid="{75370DDB-751E-4A0A-9473-121CCFCFEF43}"/>
    <cellStyle name="Moneda 189 3 2" xfId="11432" xr:uid="{F3D63ED4-34CC-4A9A-B5E1-80F06740E274}"/>
    <cellStyle name="Moneda 189 4" xfId="8512" xr:uid="{E8C73EDC-4DE9-4F79-98BE-3CD1477FDDF2}"/>
    <cellStyle name="Moneda 19" xfId="115" xr:uid="{00000000-0005-0000-0000-000058000000}"/>
    <cellStyle name="Moneda 19 10" xfId="3209" xr:uid="{80E4ACBD-13D4-439B-A51D-98D31CB43E05}"/>
    <cellStyle name="Moneda 19 10 2" xfId="6213" xr:uid="{5B9C1AA7-2AA9-40FA-9731-8BCCACF39698}"/>
    <cellStyle name="Moneda 19 10 2 2" xfId="13774" xr:uid="{E51A06D3-2685-4796-9DE4-74402C5FBD8B}"/>
    <cellStyle name="Moneda 19 10 3" xfId="7617" xr:uid="{12243DFD-28A0-4014-8F24-504AD6D6E33E}"/>
    <cellStyle name="Moneda 19 10 3 2" xfId="15146" xr:uid="{4A6DDE47-8DB1-44B0-99E7-AC7E8910D829}"/>
    <cellStyle name="Moneda 19 10 4" xfId="10791" xr:uid="{A0DF4E32-11C7-4C97-A299-E0EE6F6E2663}"/>
    <cellStyle name="Moneda 19 11" xfId="3337" xr:uid="{3DE26FA5-45F7-450A-9213-6F503AB3566A}"/>
    <cellStyle name="Moneda 19 11 2" xfId="6339" xr:uid="{44FC5AF4-1B87-4000-B75A-1F76D2B4B17F}"/>
    <cellStyle name="Moneda 19 11 2 2" xfId="13900" xr:uid="{405B932A-B8B6-4CE1-A54A-369FE7C07F0D}"/>
    <cellStyle name="Moneda 19 11 3" xfId="7743" xr:uid="{0D3BCE14-E03B-410D-9C2D-46CF2A2CD4FD}"/>
    <cellStyle name="Moneda 19 11 3 2" xfId="15272" xr:uid="{F2B2BA30-5ABD-43A5-9EB5-A52A69BAC40E}"/>
    <cellStyle name="Moneda 19 11 4" xfId="10917" xr:uid="{6F623798-B0CB-4231-BC25-31599F2412FA}"/>
    <cellStyle name="Moneda 19 12" xfId="2336" xr:uid="{C7118B57-0B00-480B-908C-BFFCAC83D09C}"/>
    <cellStyle name="Moneda 19 12 2" xfId="6475" xr:uid="{ED3154EA-E0B6-4B60-9715-9F3A89EB223B}"/>
    <cellStyle name="Moneda 19 12 2 2" xfId="14031" xr:uid="{1562A2A0-C06B-4EBB-9FFC-95EEDD519E1E}"/>
    <cellStyle name="Moneda 19 12 3" xfId="7874" xr:uid="{8EE5603E-E2BF-4947-8D82-97ECD6377FBA}"/>
    <cellStyle name="Moneda 19 12 3 2" xfId="15403" xr:uid="{D7F80E6F-2424-42DE-A433-3C2FBC0B8379}"/>
    <cellStyle name="Moneda 19 12 4" xfId="9932" xr:uid="{ED39F8AB-1B8F-4263-83A2-A0C83B105387}"/>
    <cellStyle name="Moneda 19 13" xfId="3524" xr:uid="{4487CC3C-D318-45DC-AD90-0337875B41E3}"/>
    <cellStyle name="Moneda 19 13 2" xfId="11092" xr:uid="{556C44E2-5309-4AD3-A5A2-2E7E6CC92DD8}"/>
    <cellStyle name="Moneda 19 14" xfId="5354" xr:uid="{C35E855F-C44B-425E-ADAA-EE8D6CEA731B}"/>
    <cellStyle name="Moneda 19 14 2" xfId="12915" xr:uid="{DA741E75-A853-4702-A550-DFC4DE91E90D}"/>
    <cellStyle name="Moneda 19 15" xfId="6758" xr:uid="{2A994BF0-411B-4EBD-813E-72B91FE74FC6}"/>
    <cellStyle name="Moneda 19 15 2" xfId="14287" xr:uid="{F03C1FC2-2528-4B38-AE9F-7568A0FFD397}"/>
    <cellStyle name="Moneda 19 16" xfId="8172" xr:uid="{1BA590AE-5B57-40B9-B218-55979E8D8E60}"/>
    <cellStyle name="Moneda 19 17" xfId="241" xr:uid="{67B1D704-E972-4296-9686-5DE23C1E69EF}"/>
    <cellStyle name="Moneda 19 2" xfId="1095" xr:uid="{BC3290B3-6217-4C24-A7AD-7F4EADE2729F}"/>
    <cellStyle name="Moneda 19 2 10" xfId="3367" xr:uid="{C911880B-522D-426E-A64B-29E225821BAF}"/>
    <cellStyle name="Moneda 19 2 10 2" xfId="6369" xr:uid="{D318715C-B0B9-4712-AE3E-ED6B91F88196}"/>
    <cellStyle name="Moneda 19 2 10 2 2" xfId="13930" xr:uid="{8BD7741A-472D-419D-B011-0DD8BABD950F}"/>
    <cellStyle name="Moneda 19 2 10 3" xfId="7773" xr:uid="{A87C75B8-ED05-4687-8D5E-7C0113DFEBF1}"/>
    <cellStyle name="Moneda 19 2 10 3 2" xfId="15302" xr:uid="{ABC01F9F-A199-4B25-A748-FF4591A9DB73}"/>
    <cellStyle name="Moneda 19 2 10 4" xfId="10947" xr:uid="{8F16D699-158A-4D5C-B380-CF212675E6FF}"/>
    <cellStyle name="Moneda 19 2 11" xfId="2372" xr:uid="{F4C7764F-49A8-4FDE-B36D-D08A3A9BD754}"/>
    <cellStyle name="Moneda 19 2 11 2" xfId="6505" xr:uid="{CBD9E118-47DB-4094-8A5A-022A2ED850D0}"/>
    <cellStyle name="Moneda 19 2 11 2 2" xfId="14061" xr:uid="{6D4C4E56-7159-4BE5-8E9A-135C2E2DEB89}"/>
    <cellStyle name="Moneda 19 2 11 3" xfId="7904" xr:uid="{48191869-E500-4D02-A3D0-D2C708945B2F}"/>
    <cellStyle name="Moneda 19 2 11 3 2" xfId="15433" xr:uid="{D3F0E539-2B5A-4329-A84F-061C4DD16EEB}"/>
    <cellStyle name="Moneda 19 2 11 4" xfId="9962" xr:uid="{18CD23A2-79ED-49AF-8FE8-84932BC58C98}"/>
    <cellStyle name="Moneda 19 2 12" xfId="4055" xr:uid="{10BA6CB4-4152-480A-8C42-ECBC498851F7}"/>
    <cellStyle name="Moneda 19 2 12 2" xfId="11623" xr:uid="{8C1322B0-BF33-468B-85DE-2E399CF9D3AA}"/>
    <cellStyle name="Moneda 19 2 13" xfId="5384" xr:uid="{D3BA68D2-C8C4-4B00-8CF7-DE026F939B9E}"/>
    <cellStyle name="Moneda 19 2 13 2" xfId="12945" xr:uid="{49F00779-2351-4305-9B3C-639690CC7CE7}"/>
    <cellStyle name="Moneda 19 2 14" xfId="6788" xr:uid="{65872BED-C853-43F2-B6B6-E97651C2E011}"/>
    <cellStyle name="Moneda 19 2 14 2" xfId="14317" xr:uid="{E112E2E6-8FF8-4CB9-A320-DD3E308F56BA}"/>
    <cellStyle name="Moneda 19 2 15" xfId="8703" xr:uid="{DE632797-3ED2-4A15-8182-A87899BB7220}"/>
    <cellStyle name="Moneda 19 2 2" xfId="2432" xr:uid="{C779FE0F-678D-411A-B69B-295D610ED1C6}"/>
    <cellStyle name="Moneda 19 2 2 10" xfId="6563" xr:uid="{452DB9B9-18D2-472C-A21A-A66B45489393}"/>
    <cellStyle name="Moneda 19 2 2 10 2" xfId="7962" xr:uid="{94159D1C-511C-415B-91AB-498D4B0E8A53}"/>
    <cellStyle name="Moneda 19 2 2 10 2 2" xfId="15491" xr:uid="{11A1B849-2281-4F82-9BBA-0103C9A296E4}"/>
    <cellStyle name="Moneda 19 2 2 10 3" xfId="14119" xr:uid="{17616AD8-D08C-48F4-A9C6-A544077DA0C5}"/>
    <cellStyle name="Moneda 19 2 2 11" xfId="5442" xr:uid="{9EF839AF-953B-401B-BF11-9D66D9270C4A}"/>
    <cellStyle name="Moneda 19 2 2 11 2" xfId="13003" xr:uid="{6F630AA4-EE48-444A-B96E-2E51B1C6756E}"/>
    <cellStyle name="Moneda 19 2 2 12" xfId="6846" xr:uid="{15CFB7EC-938C-4AAD-AE6A-851395094472}"/>
    <cellStyle name="Moneda 19 2 2 12 2" xfId="14375" xr:uid="{65976881-1CC1-40D9-A0BA-0A5BBF45FFEC}"/>
    <cellStyle name="Moneda 19 2 2 13" xfId="10020" xr:uid="{2BFE65C2-EB67-45B3-A11A-715AF1610F84}"/>
    <cellStyle name="Moneda 19 2 2 2" xfId="2556" xr:uid="{0C105625-1470-4EF6-B0E5-D9DCED5E27BC}"/>
    <cellStyle name="Moneda 19 2 2 2 2" xfId="6698" xr:uid="{0DD04B46-C36B-43A2-B5C6-C3A3772E2C5F}"/>
    <cellStyle name="Moneda 19 2 2 2 2 2" xfId="8084" xr:uid="{E2D94382-7BB1-41EC-B926-C1FC7A0A7FEF}"/>
    <cellStyle name="Moneda 19 2 2 2 2 2 2" xfId="15613" xr:uid="{765398C4-DBD4-4581-9E95-4EF5ABA6609D}"/>
    <cellStyle name="Moneda 19 2 2 2 2 3" xfId="14241" xr:uid="{70066E42-81D8-461F-8574-19BDA6EC0FDC}"/>
    <cellStyle name="Moneda 19 2 2 2 3" xfId="5562" xr:uid="{D66D91E5-0E0C-44D2-B688-D01EC2BD3145}"/>
    <cellStyle name="Moneda 19 2 2 2 3 2" xfId="13123" xr:uid="{DEA909CA-1014-4D45-95EE-12FE7EC44CE7}"/>
    <cellStyle name="Moneda 19 2 2 2 4" xfId="6966" xr:uid="{322B169F-ABEF-4CDF-A6FF-238E21D61E3E}"/>
    <cellStyle name="Moneda 19 2 2 2 4 2" xfId="14495" xr:uid="{C78A2010-D87D-4C44-A8E9-DD321B80A7F7}"/>
    <cellStyle name="Moneda 19 2 2 2 5" xfId="10140" xr:uid="{9190423A-823E-45D8-B508-E1CB04B53932}"/>
    <cellStyle name="Moneda 19 2 2 3" xfId="2677" xr:uid="{7A40848D-1AA9-4D40-AD20-05498CB7AFA3}"/>
    <cellStyle name="Moneda 19 2 2 3 2" xfId="5682" xr:uid="{F93E6C17-A218-436C-A947-8AD3F7969FE4}"/>
    <cellStyle name="Moneda 19 2 2 3 2 2" xfId="13243" xr:uid="{DBF3EF7B-9DA0-4C37-8A66-17FB1B05F621}"/>
    <cellStyle name="Moneda 19 2 2 3 3" xfId="7086" xr:uid="{40C75EC9-2965-4000-B842-3BA1ADB32F9F}"/>
    <cellStyle name="Moneda 19 2 2 3 3 2" xfId="14615" xr:uid="{B75506AB-95B7-4245-B8AE-C745A7468D8C}"/>
    <cellStyle name="Moneda 19 2 2 3 4" xfId="10260" xr:uid="{BCD0BCFA-552D-40D6-8FFC-C35DEB684CDA}"/>
    <cellStyle name="Moneda 19 2 2 4" xfId="2799" xr:uid="{AB89008E-00AD-4013-BFC0-BF49F5E3397E}"/>
    <cellStyle name="Moneda 19 2 2 4 2" xfId="5804" xr:uid="{006E034B-C3CC-4F4C-9E63-E1F459FDF6EF}"/>
    <cellStyle name="Moneda 19 2 2 4 2 2" xfId="13365" xr:uid="{1B907992-5C43-45D9-99B3-ED93F1329662}"/>
    <cellStyle name="Moneda 19 2 2 4 3" xfId="7208" xr:uid="{FD25E7B5-A26A-4838-80D1-9E51E6BAC4F0}"/>
    <cellStyle name="Moneda 19 2 2 4 3 2" xfId="14737" xr:uid="{C8C72AFF-9E55-4399-ACE0-A3C7C128A159}"/>
    <cellStyle name="Moneda 19 2 2 4 4" xfId="10382" xr:uid="{BE01D016-B698-4B85-8C63-6BD963B3DEC5}"/>
    <cellStyle name="Moneda 19 2 2 5" xfId="2924" xr:uid="{85C9C524-A09B-4FD3-888D-A682E6F6DDB1}"/>
    <cellStyle name="Moneda 19 2 2 5 2" xfId="5928" xr:uid="{CD36951F-4918-4D32-8D87-3F88B6A0B2BA}"/>
    <cellStyle name="Moneda 19 2 2 5 2 2" xfId="13489" xr:uid="{9F86F35E-7DD5-4D0A-B622-F3485F67871F}"/>
    <cellStyle name="Moneda 19 2 2 5 3" xfId="7332" xr:uid="{8E5579CE-1C14-4BCE-9A31-14756CA4E1EA}"/>
    <cellStyle name="Moneda 19 2 2 5 3 2" xfId="14861" xr:uid="{753317B2-C543-4281-B26F-BBDB1A78D4A1}"/>
    <cellStyle name="Moneda 19 2 2 5 4" xfId="10506" xr:uid="{DA2166B7-FB57-40D1-8810-0BEB5CD06B5B}"/>
    <cellStyle name="Moneda 19 2 2 6" xfId="3048" xr:uid="{D6524A5C-08EF-4074-8EF3-5C5319B61B4E}"/>
    <cellStyle name="Moneda 19 2 2 6 2" xfId="6052" xr:uid="{4D9F5C4D-B8D7-4A4E-8447-7EA769F3FD79}"/>
    <cellStyle name="Moneda 19 2 2 6 2 2" xfId="13613" xr:uid="{E25780EA-B27A-4665-850F-DAE5B64C9F08}"/>
    <cellStyle name="Moneda 19 2 2 6 3" xfId="7456" xr:uid="{EFA0CA6B-85BD-4D16-8BF0-E2032B52FF81}"/>
    <cellStyle name="Moneda 19 2 2 6 3 2" xfId="14985" xr:uid="{FF42B92F-14D1-4328-8125-41C2D9DF208F}"/>
    <cellStyle name="Moneda 19 2 2 6 4" xfId="10630" xr:uid="{7DF80325-D6F3-43A7-8084-888F8DDC0872}"/>
    <cellStyle name="Moneda 19 2 2 7" xfId="3172" xr:uid="{EC12CCBB-C675-43B3-8F93-F27E021E0916}"/>
    <cellStyle name="Moneda 19 2 2 7 2" xfId="6176" xr:uid="{363C7D15-F917-468B-B36D-7EEBC3DC9D10}"/>
    <cellStyle name="Moneda 19 2 2 7 2 2" xfId="13737" xr:uid="{C0C6E4B5-BF9F-402D-A983-97E2C3FE21C4}"/>
    <cellStyle name="Moneda 19 2 2 7 3" xfId="7580" xr:uid="{394DCBC2-5895-493C-9BEC-3D61F7DE2D53}"/>
    <cellStyle name="Moneda 19 2 2 7 3 2" xfId="15109" xr:uid="{FFD46D84-4367-4017-B3FE-BDBFD6563158}"/>
    <cellStyle name="Moneda 19 2 2 7 4" xfId="10754" xr:uid="{5A9A1D14-F27D-4FE4-ACBB-86D65C545822}"/>
    <cellStyle name="Moneda 19 2 2 8" xfId="3297" xr:uid="{C5D8E443-A55E-4A14-B706-1E3A269326BD}"/>
    <cellStyle name="Moneda 19 2 2 8 2" xfId="6301" xr:uid="{67064B07-D86A-44B7-A28C-C3A75C9B946A}"/>
    <cellStyle name="Moneda 19 2 2 8 2 2" xfId="13862" xr:uid="{2A07F827-7099-41D8-859A-C43D7A22CA30}"/>
    <cellStyle name="Moneda 19 2 2 8 3" xfId="7705" xr:uid="{3741276C-0EF1-4ED2-B36C-E2FF6DF7A01F}"/>
    <cellStyle name="Moneda 19 2 2 8 3 2" xfId="15234" xr:uid="{B66E20D0-9754-46EE-8A39-D9D213B1CD1B}"/>
    <cellStyle name="Moneda 19 2 2 8 4" xfId="10879" xr:uid="{AB3D936D-24DC-4C2A-8E3A-76F45C8A2952}"/>
    <cellStyle name="Moneda 19 2 2 9" xfId="3425" xr:uid="{F13E0D73-62EC-42C4-9F83-DB02806EE041}"/>
    <cellStyle name="Moneda 19 2 2 9 2" xfId="6427" xr:uid="{90062FEE-D7EB-4D31-BD80-396973EC948F}"/>
    <cellStyle name="Moneda 19 2 2 9 2 2" xfId="13988" xr:uid="{5F8A5566-AC85-498E-9422-BB0015DE4A0A}"/>
    <cellStyle name="Moneda 19 2 2 9 3" xfId="7831" xr:uid="{C0E74FDF-E5A5-459D-A156-F5DB4FF62C16}"/>
    <cellStyle name="Moneda 19 2 2 9 3 2" xfId="15360" xr:uid="{33E3C01B-4275-4CF9-97EB-2D456064942E}"/>
    <cellStyle name="Moneda 19 2 2 9 4" xfId="11005" xr:uid="{603CF0F7-5C6D-4490-80C7-2AF5F1708222}"/>
    <cellStyle name="Moneda 19 2 3" xfId="2498" xr:uid="{C6740484-C32D-4DA1-A0CA-88D3BDD1FD4D}"/>
    <cellStyle name="Moneda 19 2 3 2" xfId="6640" xr:uid="{B9CA42FB-2AE9-467F-AD6A-533364BBC2E2}"/>
    <cellStyle name="Moneda 19 2 3 2 2" xfId="8026" xr:uid="{BDCB9939-2D86-4D30-84F4-86BCFF5C8417}"/>
    <cellStyle name="Moneda 19 2 3 2 2 2" xfId="15555" xr:uid="{09778FF4-031A-4F39-9B00-46D8B2B18BCA}"/>
    <cellStyle name="Moneda 19 2 3 2 3" xfId="14183" xr:uid="{43A80E77-C915-49DF-947A-01886AF6FCE1}"/>
    <cellStyle name="Moneda 19 2 3 3" xfId="5504" xr:uid="{9625DC2B-8035-49E4-8BD8-276921E67F15}"/>
    <cellStyle name="Moneda 19 2 3 3 2" xfId="13065" xr:uid="{B2AA94C6-C052-46C5-969F-7573F4CEBECC}"/>
    <cellStyle name="Moneda 19 2 3 4" xfId="6908" xr:uid="{E1F9DC9B-AD19-4D6C-8193-6A96AF57CB2E}"/>
    <cellStyle name="Moneda 19 2 3 4 2" xfId="14437" xr:uid="{7B01FA0E-5FC2-42B6-B7B7-672987425D25}"/>
    <cellStyle name="Moneda 19 2 3 5" xfId="10082" xr:uid="{F2408226-BA19-4222-A655-9BA5C3C40206}"/>
    <cellStyle name="Moneda 19 2 4" xfId="2619" xr:uid="{B5DE2D2F-88BF-400A-A9D8-654A981C5033}"/>
    <cellStyle name="Moneda 19 2 4 2" xfId="5624" xr:uid="{85C7964B-2283-450A-B62B-5F2E65D95852}"/>
    <cellStyle name="Moneda 19 2 4 2 2" xfId="13185" xr:uid="{EBABF427-43EA-42DD-9E4C-FA17B394E208}"/>
    <cellStyle name="Moneda 19 2 4 3" xfId="7028" xr:uid="{8AB5EB2E-70BF-47DA-876C-BED37731C8FD}"/>
    <cellStyle name="Moneda 19 2 4 3 2" xfId="14557" xr:uid="{2E48078D-8C5A-4BCF-A709-2B2A4324D103}"/>
    <cellStyle name="Moneda 19 2 4 4" xfId="10202" xr:uid="{FF4E4301-0158-4856-89D8-4B5769706A95}"/>
    <cellStyle name="Moneda 19 2 5" xfId="2741" xr:uid="{29D00F9C-5868-4141-A9B8-8EB6806E46E0}"/>
    <cellStyle name="Moneda 19 2 5 2" xfId="5746" xr:uid="{D7D022D4-6CCC-4874-9668-B15D702989FD}"/>
    <cellStyle name="Moneda 19 2 5 2 2" xfId="13307" xr:uid="{60ACFEB7-7512-4353-8600-AABEF1027DBA}"/>
    <cellStyle name="Moneda 19 2 5 3" xfId="7150" xr:uid="{BC16FC6C-F332-4B28-9EE2-B52CEF7FFBB4}"/>
    <cellStyle name="Moneda 19 2 5 3 2" xfId="14679" xr:uid="{B7D19D8A-2189-441B-824A-1B2FF5FB237C}"/>
    <cellStyle name="Moneda 19 2 5 4" xfId="10324" xr:uid="{B9CF831A-54D4-4B89-B96D-ED251A16B761}"/>
    <cellStyle name="Moneda 19 2 6" xfId="2866" xr:uid="{04F9144C-63C6-4B53-BC30-BAC5ED2BA68C}"/>
    <cellStyle name="Moneda 19 2 6 2" xfId="5870" xr:uid="{7BDEC845-028E-45EF-879F-85DD79E9394A}"/>
    <cellStyle name="Moneda 19 2 6 2 2" xfId="13431" xr:uid="{A89DD05C-9862-43D5-B21A-AA65D9A066DE}"/>
    <cellStyle name="Moneda 19 2 6 3" xfId="7274" xr:uid="{E39501E9-57BB-4A89-AB03-5154A7705F53}"/>
    <cellStyle name="Moneda 19 2 6 3 2" xfId="14803" xr:uid="{5EBFA0B2-F672-4E61-8D06-F4AF999405A8}"/>
    <cellStyle name="Moneda 19 2 6 4" xfId="10448" xr:uid="{4711519C-9C36-4649-B14D-D5EF3E56D609}"/>
    <cellStyle name="Moneda 19 2 7" xfId="2990" xr:uid="{F680F0F8-7670-41D4-91DD-E887E02F42DF}"/>
    <cellStyle name="Moneda 19 2 7 2" xfId="5994" xr:uid="{F335779A-A6FB-4FCF-B830-CCAA3D247723}"/>
    <cellStyle name="Moneda 19 2 7 2 2" xfId="13555" xr:uid="{99B5505D-11AA-49AD-8D3B-ACEF1C4AB052}"/>
    <cellStyle name="Moneda 19 2 7 3" xfId="7398" xr:uid="{37A79B08-7F53-4036-B675-3D3B67DA1D94}"/>
    <cellStyle name="Moneda 19 2 7 3 2" xfId="14927" xr:uid="{7CAE5E13-FB35-445A-BC43-F6072F446F0E}"/>
    <cellStyle name="Moneda 19 2 7 4" xfId="10572" xr:uid="{55815F8D-8DEF-4721-9909-733CFAB8AB4B}"/>
    <cellStyle name="Moneda 19 2 8" xfId="3114" xr:uid="{04AB984D-960F-4FC8-B807-A7D38051CD7C}"/>
    <cellStyle name="Moneda 19 2 8 2" xfId="6118" xr:uid="{E684BC82-253D-4AB3-9465-9C38FB62DB68}"/>
    <cellStyle name="Moneda 19 2 8 2 2" xfId="13679" xr:uid="{BD0F275D-EEC7-42F5-BED9-A414E0F88BAF}"/>
    <cellStyle name="Moneda 19 2 8 3" xfId="7522" xr:uid="{425E3703-5067-4ACF-B8C2-1AEC3F863244}"/>
    <cellStyle name="Moneda 19 2 8 3 2" xfId="15051" xr:uid="{AD18C03F-1E10-4ABD-BA7C-B77483904261}"/>
    <cellStyle name="Moneda 19 2 8 4" xfId="10696" xr:uid="{4C939A33-F8F2-431F-988A-0CBF2C169722}"/>
    <cellStyle name="Moneda 19 2 9" xfId="3239" xr:uid="{13667B56-D2F1-4B59-8179-FFB3E4292B1B}"/>
    <cellStyle name="Moneda 19 2 9 2" xfId="6243" xr:uid="{FC15D5BE-74DC-425F-8C44-FC4DDA74CCCA}"/>
    <cellStyle name="Moneda 19 2 9 2 2" xfId="13804" xr:uid="{66F57D94-9B4F-40E8-B744-10FE0B01BC6F}"/>
    <cellStyle name="Moneda 19 2 9 3" xfId="7647" xr:uid="{CE049E2C-D555-4570-A3C6-9406F969A382}"/>
    <cellStyle name="Moneda 19 2 9 3 2" xfId="15176" xr:uid="{DCB8108B-F63F-4AF7-8F35-13A1D9CC96EC}"/>
    <cellStyle name="Moneda 19 2 9 4" xfId="10821" xr:uid="{93EAD0A7-19E9-445D-AD2E-A433B22646F2}"/>
    <cellStyle name="Moneda 19 3" xfId="1459" xr:uid="{0ADA23BF-B052-4A98-A38F-AF04576439FF}"/>
    <cellStyle name="Moneda 19 3 10" xfId="2402" xr:uid="{37D215F3-8E89-414E-882F-E9629612DDC4}"/>
    <cellStyle name="Moneda 19 3 10 2" xfId="6533" xr:uid="{2A152DF2-F92D-40AF-8B35-178F79504410}"/>
    <cellStyle name="Moneda 19 3 10 2 2" xfId="14089" xr:uid="{B5DC11CA-C29D-48DE-8580-9F3A6A258BD4}"/>
    <cellStyle name="Moneda 19 3 10 3" xfId="7932" xr:uid="{C4AA5FB8-168D-400F-9A8E-1CB575F5DD74}"/>
    <cellStyle name="Moneda 19 3 10 3 2" xfId="15461" xr:uid="{152AC894-E1C6-4978-B721-575FDE917BAA}"/>
    <cellStyle name="Moneda 19 3 10 4" xfId="9990" xr:uid="{2098C5D2-991E-4959-813D-135891DD41F9}"/>
    <cellStyle name="Moneda 19 3 11" xfId="4419" xr:uid="{DBB96CD5-AEB0-423F-9FD8-AA1CF9609378}"/>
    <cellStyle name="Moneda 19 3 11 2" xfId="11987" xr:uid="{1374FF38-BD62-48D3-B35D-AD2142B288CF}"/>
    <cellStyle name="Moneda 19 3 12" xfId="5412" xr:uid="{B571A8C0-5F41-4D0F-9E65-285750A37ADE}"/>
    <cellStyle name="Moneda 19 3 12 2" xfId="12973" xr:uid="{E3A9FB58-CB87-4CC8-AF22-994EC00D61D0}"/>
    <cellStyle name="Moneda 19 3 13" xfId="6816" xr:uid="{D000525C-F53C-4F9D-88D5-D65210B9D10D}"/>
    <cellStyle name="Moneda 19 3 13 2" xfId="14345" xr:uid="{55EADE61-3CB3-42D7-8350-4462D4B4B8F9}"/>
    <cellStyle name="Moneda 19 3 14" xfId="9067" xr:uid="{CE33ED0A-16AD-4AA6-A5F2-73557BFBE17C}"/>
    <cellStyle name="Moneda 19 3 2" xfId="2526" xr:uid="{3D51DFC6-DC44-4AF0-97FB-FECACC72A4D1}"/>
    <cellStyle name="Moneda 19 3 2 2" xfId="6668" xr:uid="{7DDD9268-0FB4-4D0E-819F-5C21D7FE8374}"/>
    <cellStyle name="Moneda 19 3 2 2 2" xfId="8054" xr:uid="{857BCD38-71BF-415B-9F9A-1B18C4360214}"/>
    <cellStyle name="Moneda 19 3 2 2 2 2" xfId="15583" xr:uid="{326A6045-FD03-4720-9C8C-28F70DCD8396}"/>
    <cellStyle name="Moneda 19 3 2 2 3" xfId="14211" xr:uid="{15B99DC5-8ACB-45E2-A162-237BC57A4DB4}"/>
    <cellStyle name="Moneda 19 3 2 3" xfId="5532" xr:uid="{B4669E40-B9AC-4E36-8CA0-2437B083D8C7}"/>
    <cellStyle name="Moneda 19 3 2 3 2" xfId="13093" xr:uid="{B7D3742C-108F-492D-91D6-FA7EB3BB0E40}"/>
    <cellStyle name="Moneda 19 3 2 4" xfId="6936" xr:uid="{41D30252-2221-4A1E-A14E-DBB1D3CF591D}"/>
    <cellStyle name="Moneda 19 3 2 4 2" xfId="14465" xr:uid="{4CD237A8-1F00-4186-B0B4-1BD748E563A7}"/>
    <cellStyle name="Moneda 19 3 2 5" xfId="10110" xr:uid="{222D8768-813B-4AFF-8660-CF6F7863FF29}"/>
    <cellStyle name="Moneda 19 3 3" xfId="2647" xr:uid="{10E0F4E1-5351-47B1-BB2D-F1E30D1BB2AE}"/>
    <cellStyle name="Moneda 19 3 3 2" xfId="5652" xr:uid="{232F3221-4E7D-40B2-8399-E496F6E2967E}"/>
    <cellStyle name="Moneda 19 3 3 2 2" xfId="13213" xr:uid="{EC4F75DF-26AA-4CAE-9646-B6AEA36B79C3}"/>
    <cellStyle name="Moneda 19 3 3 3" xfId="7056" xr:uid="{6E74D7D0-5CD1-4B71-A4C5-2EBD8EAADDA8}"/>
    <cellStyle name="Moneda 19 3 3 3 2" xfId="14585" xr:uid="{1D7943DA-7FD9-4F04-A568-E119E84B2B0F}"/>
    <cellStyle name="Moneda 19 3 3 4" xfId="10230" xr:uid="{D74BD6F6-5E0C-40DA-8B0E-5882D052A0F8}"/>
    <cellStyle name="Moneda 19 3 4" xfId="2769" xr:uid="{64BDBD35-569A-4F99-B00B-D673E1356218}"/>
    <cellStyle name="Moneda 19 3 4 2" xfId="5774" xr:uid="{4654310D-1F56-491D-9834-8A350E7AA69F}"/>
    <cellStyle name="Moneda 19 3 4 2 2" xfId="13335" xr:uid="{E7F1F233-8B14-4B90-8A07-83DBEF999355}"/>
    <cellStyle name="Moneda 19 3 4 3" xfId="7178" xr:uid="{A3DDDEA9-8478-48D1-A436-CC54856A353B}"/>
    <cellStyle name="Moneda 19 3 4 3 2" xfId="14707" xr:uid="{69BD4340-3462-4710-94D2-A17ACF54ADE8}"/>
    <cellStyle name="Moneda 19 3 4 4" xfId="10352" xr:uid="{65E7E37B-D439-4372-AD42-0CDFAF50126D}"/>
    <cellStyle name="Moneda 19 3 5" xfId="2894" xr:uid="{AC005F63-AE9A-4B18-B614-DD7ABF5A6044}"/>
    <cellStyle name="Moneda 19 3 5 2" xfId="5898" xr:uid="{285ACD1B-CFAE-4314-BBDA-8ABB4E36C2C2}"/>
    <cellStyle name="Moneda 19 3 5 2 2" xfId="13459" xr:uid="{385A9E38-162F-414B-8739-EF645BF5BE82}"/>
    <cellStyle name="Moneda 19 3 5 3" xfId="7302" xr:uid="{8AB627D5-C878-4B79-8CD6-523030FCCD57}"/>
    <cellStyle name="Moneda 19 3 5 3 2" xfId="14831" xr:uid="{94F9F270-2206-4FFE-8710-494B0347E9CE}"/>
    <cellStyle name="Moneda 19 3 5 4" xfId="10476" xr:uid="{3271B2D0-34DA-4548-AB5D-F401785A5927}"/>
    <cellStyle name="Moneda 19 3 6" xfId="3018" xr:uid="{D50CDDB2-3EB8-4C35-8D9F-B52673D88CCC}"/>
    <cellStyle name="Moneda 19 3 6 2" xfId="6022" xr:uid="{0F493EC3-6BC2-4AC9-B397-016F00D91BAA}"/>
    <cellStyle name="Moneda 19 3 6 2 2" xfId="13583" xr:uid="{33670C68-CB49-47B6-903A-53E3A65D6DD8}"/>
    <cellStyle name="Moneda 19 3 6 3" xfId="7426" xr:uid="{3B84240F-C3DC-4D2A-A295-1386CC3B909D}"/>
    <cellStyle name="Moneda 19 3 6 3 2" xfId="14955" xr:uid="{DA7A6F06-5181-4535-9BC1-13F15BE2B30E}"/>
    <cellStyle name="Moneda 19 3 6 4" xfId="10600" xr:uid="{F26870BE-3A82-4ECD-81A5-EF9818FC6CD1}"/>
    <cellStyle name="Moneda 19 3 7" xfId="3142" xr:uid="{4AAC4146-D354-4D34-BC27-BF0A7D4E700B}"/>
    <cellStyle name="Moneda 19 3 7 2" xfId="6146" xr:uid="{85838206-8090-4921-BF28-23A9730AA557}"/>
    <cellStyle name="Moneda 19 3 7 2 2" xfId="13707" xr:uid="{07B3281A-B36A-497B-A738-1A585B4FFFDA}"/>
    <cellStyle name="Moneda 19 3 7 3" xfId="7550" xr:uid="{0E8E3665-4CF2-4A41-A150-A24F50E82173}"/>
    <cellStyle name="Moneda 19 3 7 3 2" xfId="15079" xr:uid="{A47A0276-8750-43B9-85D3-AF941211B0F6}"/>
    <cellStyle name="Moneda 19 3 7 4" xfId="10724" xr:uid="{39F4DABF-E589-4704-BC10-87C90E44E41E}"/>
    <cellStyle name="Moneda 19 3 8" xfId="3267" xr:uid="{25346FAF-5BA2-473D-BFF3-8D4BF873C085}"/>
    <cellStyle name="Moneda 19 3 8 2" xfId="6271" xr:uid="{074357DD-7176-4D91-8527-08A8F2FABC20}"/>
    <cellStyle name="Moneda 19 3 8 2 2" xfId="13832" xr:uid="{D6E8A30A-7ACB-4AB3-8E41-0A859B872D6C}"/>
    <cellStyle name="Moneda 19 3 8 3" xfId="7675" xr:uid="{4539C36C-09F3-4620-8A63-DAC444D74C1E}"/>
    <cellStyle name="Moneda 19 3 8 3 2" xfId="15204" xr:uid="{2F190F87-FAAE-43C8-940C-A31A327A9CF2}"/>
    <cellStyle name="Moneda 19 3 8 4" xfId="10849" xr:uid="{45377D46-1A03-47A2-A30F-5AC669A64284}"/>
    <cellStyle name="Moneda 19 3 9" xfId="3395" xr:uid="{42F61A84-9958-4411-AD8D-2DE740AFEF34}"/>
    <cellStyle name="Moneda 19 3 9 2" xfId="6397" xr:uid="{9F575CD8-0522-4A1A-8667-43A1D97E2830}"/>
    <cellStyle name="Moneda 19 3 9 2 2" xfId="13958" xr:uid="{4472D387-40E4-4DA9-B74C-2DBD92E81865}"/>
    <cellStyle name="Moneda 19 3 9 3" xfId="7801" xr:uid="{B5C2A0E2-36C2-4D2A-9541-FC11A921A1AF}"/>
    <cellStyle name="Moneda 19 3 9 3 2" xfId="15330" xr:uid="{99D62CEB-A57A-42B9-823D-50F72FA46AEC}"/>
    <cellStyle name="Moneda 19 3 9 4" xfId="10975" xr:uid="{C0B83229-E402-48FC-A860-FBB3C03AF891}"/>
    <cellStyle name="Moneda 19 4" xfId="1838" xr:uid="{47A16CCF-3613-4CE9-9088-4E8103873340}"/>
    <cellStyle name="Moneda 19 4 2" xfId="2467" xr:uid="{1CA20052-F235-4CF9-BD4D-9FB2A9BDB798}"/>
    <cellStyle name="Moneda 19 4 2 2" xfId="6610" xr:uid="{B8145998-F9B1-4E3B-AE7D-8C430031BE91}"/>
    <cellStyle name="Moneda 19 4 2 2 2" xfId="14153" xr:uid="{81B102ED-20D9-4900-B9E7-2A80CAECCA00}"/>
    <cellStyle name="Moneda 19 4 2 3" xfId="7996" xr:uid="{7AC747C2-4C43-4623-AC7F-707DB7D3BD26}"/>
    <cellStyle name="Moneda 19 4 2 3 2" xfId="15525" xr:uid="{009CCBBB-5DFE-44F8-91EC-6C89B6C71B87}"/>
    <cellStyle name="Moneda 19 4 2 4" xfId="10051" xr:uid="{1DDA2401-8EFF-4142-B5A1-95DB28099CE5}"/>
    <cellStyle name="Moneda 19 4 3" xfId="4797" xr:uid="{1AE89D27-1D99-4B61-A9D4-5C8818BC13FF}"/>
    <cellStyle name="Moneda 19 4 3 2" xfId="12365" xr:uid="{8BD8FC7B-E831-4AB5-BE9E-30946013B797}"/>
    <cellStyle name="Moneda 19 4 4" xfId="5473" xr:uid="{47C0463E-8904-4F23-8202-4076097AAB31}"/>
    <cellStyle name="Moneda 19 4 4 2" xfId="13034" xr:uid="{C19A9EAC-03C0-4928-9753-ED2F76B427D1}"/>
    <cellStyle name="Moneda 19 4 5" xfId="6877" xr:uid="{E3D4A7EF-6F60-4F82-940E-28236F543906}"/>
    <cellStyle name="Moneda 19 4 5 2" xfId="14406" xr:uid="{6A36FE7E-DACE-45F7-BE44-3FD94060AD76}"/>
    <cellStyle name="Moneda 19 4 6" xfId="9445" xr:uid="{016B9DDD-A30F-4D14-8980-FE8940FEB8F7}"/>
    <cellStyle name="Moneda 19 5" xfId="2589" xr:uid="{E8E05119-B05C-42FF-BE05-779D2F140616}"/>
    <cellStyle name="Moneda 19 5 2" xfId="5594" xr:uid="{2A0DB74A-60A6-49AB-9E1B-6BA9B588DB9A}"/>
    <cellStyle name="Moneda 19 5 2 2" xfId="13155" xr:uid="{F7FCAAB5-5103-4020-9173-8668565E9401}"/>
    <cellStyle name="Moneda 19 5 3" xfId="6998" xr:uid="{688D7229-1600-406E-851D-E6886A45736D}"/>
    <cellStyle name="Moneda 19 5 3 2" xfId="14527" xr:uid="{7A8E1A50-A2BB-4AC0-A62D-5118FCDFA0F7}"/>
    <cellStyle name="Moneda 19 5 4" xfId="10172" xr:uid="{2B0CA76A-464D-4AD4-8ED6-8BA0C08CDDA4}"/>
    <cellStyle name="Moneda 19 6" xfId="2711" xr:uid="{9718FFBA-02B3-4856-956D-41DBF8912A13}"/>
    <cellStyle name="Moneda 19 6 2" xfId="5716" xr:uid="{71195DCE-7058-47D0-8BF5-59BC0C8B04F2}"/>
    <cellStyle name="Moneda 19 6 2 2" xfId="13277" xr:uid="{D09C896F-D665-41A7-B6B8-2B44F86DECB2}"/>
    <cellStyle name="Moneda 19 6 3" xfId="7120" xr:uid="{81990C05-4A7B-4487-9BEE-1D890DD7BD84}"/>
    <cellStyle name="Moneda 19 6 3 2" xfId="14649" xr:uid="{78B2A4EC-4C59-4B99-9083-AB8C50C61B37}"/>
    <cellStyle name="Moneda 19 6 4" xfId="10294" xr:uid="{64F268FD-52AA-43CC-92C7-82EC78975294}"/>
    <cellStyle name="Moneda 19 7" xfId="2836" xr:uid="{90DBB4FE-E876-43ED-B8B7-D17751FDF6F0}"/>
    <cellStyle name="Moneda 19 7 2" xfId="5840" xr:uid="{622190C7-7A1E-4351-B703-62F4ECD2D34E}"/>
    <cellStyle name="Moneda 19 7 2 2" xfId="13401" xr:uid="{2DA260FB-441B-4821-8074-BB18305D8FDC}"/>
    <cellStyle name="Moneda 19 7 3" xfId="7244" xr:uid="{6A83887E-DE87-4452-93E0-29F1C4185DC4}"/>
    <cellStyle name="Moneda 19 7 3 2" xfId="14773" xr:uid="{63D02FA3-749D-4FA1-ADD1-D309EBD64085}"/>
    <cellStyle name="Moneda 19 7 4" xfId="10418" xr:uid="{4B466ADE-8B0F-4A95-AD66-FE79695BD99C}"/>
    <cellStyle name="Moneda 19 8" xfId="2960" xr:uid="{27D263BA-A3B6-4D75-8DD4-A9687B241CF2}"/>
    <cellStyle name="Moneda 19 8 2" xfId="5964" xr:uid="{AC973B90-7F38-45E7-AD35-861CF6069E32}"/>
    <cellStyle name="Moneda 19 8 2 2" xfId="13525" xr:uid="{ADCEF96D-1F2D-4C40-A22E-3542B1914958}"/>
    <cellStyle name="Moneda 19 8 3" xfId="7368" xr:uid="{021523AF-5E7C-4B6F-99F4-F78D1539E368}"/>
    <cellStyle name="Moneda 19 8 3 2" xfId="14897" xr:uid="{30613414-B2F8-44D1-AEC1-90AC0F566E4C}"/>
    <cellStyle name="Moneda 19 8 4" xfId="10542" xr:uid="{F6291129-3FAC-4F83-B137-77C70B884E46}"/>
    <cellStyle name="Moneda 19 9" xfId="3084" xr:uid="{28669C3D-982F-497C-B962-6821B3A91568}"/>
    <cellStyle name="Moneda 19 9 2" xfId="6088" xr:uid="{741FD44F-5A25-43CA-94BD-BCD9D71031FD}"/>
    <cellStyle name="Moneda 19 9 2 2" xfId="13649" xr:uid="{272E5FE8-3885-4851-8962-8A50553348FC}"/>
    <cellStyle name="Moneda 19 9 3" xfId="7492" xr:uid="{EA71DD81-8DC3-4360-A66C-16408805CFB5}"/>
    <cellStyle name="Moneda 19 9 3 2" xfId="15021" xr:uid="{341439E2-D75B-4996-B9E7-DFC3EE24D759}"/>
    <cellStyle name="Moneda 19 9 4" xfId="10666" xr:uid="{2310833F-686A-4FE0-8769-385C3ABABE31}"/>
    <cellStyle name="Moneda 190" xfId="755" xr:uid="{20A8FC8F-A871-4AEF-BD8E-55E3DDB51228}"/>
    <cellStyle name="Moneda 190 2" xfId="2180" xr:uid="{2791C6FD-CC5F-4C37-87CD-38C9D46A1017}"/>
    <cellStyle name="Moneda 190 2 2" xfId="5139" xr:uid="{65B21E9A-1287-4742-8F03-AC02E20C216A}"/>
    <cellStyle name="Moneda 190 2 2 2" xfId="12707" xr:uid="{E8C24143-A7D4-432C-8E95-92E5EF049350}"/>
    <cellStyle name="Moneda 190 2 3" xfId="9787" xr:uid="{54F5468D-FBDC-47FE-87EA-EF02C9F10628}"/>
    <cellStyle name="Moneda 190 3" xfId="3866" xr:uid="{A12CCFAF-2A32-45E0-9AA3-4A6882FFE179}"/>
    <cellStyle name="Moneda 190 3 2" xfId="11434" xr:uid="{AE9D436F-8B27-4878-8655-207DA02BE17E}"/>
    <cellStyle name="Moneda 190 4" xfId="8514" xr:uid="{15BAA922-5771-4963-9C09-33FAD36C7B88}"/>
    <cellStyle name="Moneda 191" xfId="758" xr:uid="{B751D2CA-1EC7-449E-A172-95F7AE3DBF5D}"/>
    <cellStyle name="Moneda 191 2" xfId="2182" xr:uid="{F1084B25-5B71-4C5B-9E5B-E6A4B7DF08D4}"/>
    <cellStyle name="Moneda 191 2 2" xfId="5141" xr:uid="{62E28A10-E018-4988-93E0-0C08B1919D5F}"/>
    <cellStyle name="Moneda 191 2 2 2" xfId="12709" xr:uid="{9CB133ED-9D44-4455-A4D0-9F47A5EB9EA9}"/>
    <cellStyle name="Moneda 191 2 3" xfId="9789" xr:uid="{028BC866-7708-48A8-9C09-C6A1FC661A92}"/>
    <cellStyle name="Moneda 191 3" xfId="3868" xr:uid="{C1C6A254-8268-4153-A1CE-A39097D013B8}"/>
    <cellStyle name="Moneda 191 3 2" xfId="11436" xr:uid="{565EF332-38CC-49D2-8424-B8640EED7ECC}"/>
    <cellStyle name="Moneda 191 4" xfId="8516" xr:uid="{59AFFBAC-16A6-4977-8D4D-4A25B26877C6}"/>
    <cellStyle name="Moneda 192" xfId="761" xr:uid="{62A4EB4D-8034-49CE-9C9A-27983A6831ED}"/>
    <cellStyle name="Moneda 192 2" xfId="2184" xr:uid="{07AF551E-FC2D-4906-B862-FE764FCCE438}"/>
    <cellStyle name="Moneda 192 2 2" xfId="5143" xr:uid="{EB439F8D-059C-4667-B454-7DB1DD4E6DA2}"/>
    <cellStyle name="Moneda 192 2 2 2" xfId="12711" xr:uid="{5851C13B-BDA0-46E6-8260-40B61B9439AB}"/>
    <cellStyle name="Moneda 192 2 3" xfId="9791" xr:uid="{16FBF84D-AF99-4C26-82B7-C1F58CA40D4F}"/>
    <cellStyle name="Moneda 192 3" xfId="3870" xr:uid="{99D44E75-7DA0-4727-ADE0-AACB3C282970}"/>
    <cellStyle name="Moneda 192 3 2" xfId="11438" xr:uid="{FD795303-8490-4CAF-970D-5A1D9B93376B}"/>
    <cellStyle name="Moneda 192 4" xfId="8518" xr:uid="{5690DE41-6098-4A61-8DBD-0158C1D1E51A}"/>
    <cellStyle name="Moneda 193" xfId="764" xr:uid="{BF6A6647-62FC-47B4-B412-D8BD9C14724D}"/>
    <cellStyle name="Moneda 193 2" xfId="2186" xr:uid="{7416C2AF-93A8-49CB-86C2-AA9D5B8EC6E9}"/>
    <cellStyle name="Moneda 193 2 2" xfId="5145" xr:uid="{D1534C01-3548-409D-AFA8-D18035E386BF}"/>
    <cellStyle name="Moneda 193 2 2 2" xfId="12713" xr:uid="{3510D8C4-E038-4146-8796-327E12D14E77}"/>
    <cellStyle name="Moneda 193 2 3" xfId="9793" xr:uid="{EC35A069-6C7E-4A6E-B611-DF2925683137}"/>
    <cellStyle name="Moneda 193 3" xfId="3872" xr:uid="{F8E6FD9B-9802-405F-AB59-37EFC2147D24}"/>
    <cellStyle name="Moneda 193 3 2" xfId="11440" xr:uid="{FE33F576-07C1-43E9-B210-F14A5ECAC78B}"/>
    <cellStyle name="Moneda 193 4" xfId="8520" xr:uid="{6BDF422A-AF24-4E0D-BBAD-8D2F7DBF350C}"/>
    <cellStyle name="Moneda 194" xfId="767" xr:uid="{B18933A8-678F-4899-A83D-441F338DFCE8}"/>
    <cellStyle name="Moneda 194 2" xfId="2188" xr:uid="{3953258F-0D11-4A88-AAF6-0D43524F737C}"/>
    <cellStyle name="Moneda 194 2 2" xfId="5147" xr:uid="{FD808760-F037-4CB2-8A94-D133170B736B}"/>
    <cellStyle name="Moneda 194 2 2 2" xfId="12715" xr:uid="{81A36835-322A-47E6-ADED-A3D7FBFEA1E7}"/>
    <cellStyle name="Moneda 194 2 3" xfId="9795" xr:uid="{1E132E11-E6FB-4549-A839-0D09958AA2AD}"/>
    <cellStyle name="Moneda 194 3" xfId="3874" xr:uid="{9B0B3192-A645-449E-AD0A-9B3D2F02132C}"/>
    <cellStyle name="Moneda 194 3 2" xfId="11442" xr:uid="{D3472C53-F137-40AC-810F-B857E3247A50}"/>
    <cellStyle name="Moneda 194 4" xfId="8522" xr:uid="{47F89C6C-C537-417F-BA37-D9A333F28615}"/>
    <cellStyle name="Moneda 195" xfId="770" xr:uid="{B6F6DD42-FF86-4714-898A-47A06742CB11}"/>
    <cellStyle name="Moneda 195 2" xfId="2190" xr:uid="{AEB195D5-22B9-4307-BC26-9DD80283E9A8}"/>
    <cellStyle name="Moneda 195 2 2" xfId="5149" xr:uid="{1CE7961E-DBA1-49D9-B0B4-1D7EE02F931D}"/>
    <cellStyle name="Moneda 195 2 2 2" xfId="12717" xr:uid="{9080122F-0915-4874-90ED-756D7ADE47E5}"/>
    <cellStyle name="Moneda 195 2 3" xfId="9797" xr:uid="{58195141-2BA0-459B-8DBF-15B68A417B06}"/>
    <cellStyle name="Moneda 195 3" xfId="3876" xr:uid="{D9A396DD-8D62-48DC-A4A0-46AA297D9BDA}"/>
    <cellStyle name="Moneda 195 3 2" xfId="11444" xr:uid="{4E869994-3A58-4D96-AE6C-8035E190F444}"/>
    <cellStyle name="Moneda 195 4" xfId="8524" xr:uid="{CD0E881B-2ABF-49FD-8281-E47418802B74}"/>
    <cellStyle name="Moneda 196" xfId="773" xr:uid="{2B027F0A-FE2C-4AF5-AB15-72AEE2A56F68}"/>
    <cellStyle name="Moneda 196 2" xfId="2192" xr:uid="{384D2DF1-D813-4973-842F-C55F36458E46}"/>
    <cellStyle name="Moneda 196 2 2" xfId="5151" xr:uid="{CCD67FAB-C6E7-4C13-969A-A03436C0B716}"/>
    <cellStyle name="Moneda 196 2 2 2" xfId="12719" xr:uid="{C2A75B1E-4B2E-4B0C-AEC7-87B2F5747383}"/>
    <cellStyle name="Moneda 196 2 3" xfId="9799" xr:uid="{4B62247C-790B-4130-BA82-D10C6CED1AFA}"/>
    <cellStyle name="Moneda 196 3" xfId="3878" xr:uid="{47670948-73E9-4C58-AADD-F40A9C93B86D}"/>
    <cellStyle name="Moneda 196 3 2" xfId="11446" xr:uid="{EA77D096-CACF-44E4-B7AE-C87B219BC9F0}"/>
    <cellStyle name="Moneda 196 4" xfId="8526" xr:uid="{A093BDC4-5C64-465F-9C23-D9E5D3E4B93F}"/>
    <cellStyle name="Moneda 197" xfId="776" xr:uid="{6F587E71-15AF-4878-9191-CE1FC648FCEB}"/>
    <cellStyle name="Moneda 197 2" xfId="2194" xr:uid="{2092165A-AB22-4740-BC06-B853DAB69DFD}"/>
    <cellStyle name="Moneda 197 2 2" xfId="5153" xr:uid="{AFDEBC13-D908-4D4F-AA20-117CA8927337}"/>
    <cellStyle name="Moneda 197 2 2 2" xfId="12721" xr:uid="{7130A8ED-41FD-428A-9067-08D66F0C78F3}"/>
    <cellStyle name="Moneda 197 2 3" xfId="9801" xr:uid="{B1871412-B175-4244-B830-E69A91018CDB}"/>
    <cellStyle name="Moneda 197 3" xfId="3880" xr:uid="{C9E1B266-50AA-4688-A7C3-3031CE240CEB}"/>
    <cellStyle name="Moneda 197 3 2" xfId="11448" xr:uid="{CF544A6E-B353-4544-97AB-C1BFE9AE037A}"/>
    <cellStyle name="Moneda 197 4" xfId="8528" xr:uid="{1813ADBE-D29D-42A8-9EA2-EE518EBD53D2}"/>
    <cellStyle name="Moneda 198" xfId="779" xr:uid="{7A3457B7-3F8C-47FE-86E0-EA84C97C4685}"/>
    <cellStyle name="Moneda 198 2" xfId="2196" xr:uid="{77A250D9-AE42-4C94-8E41-B1CCA176D466}"/>
    <cellStyle name="Moneda 198 2 2" xfId="5155" xr:uid="{8E265B84-F5F6-48BA-B995-E8FABCBF910F}"/>
    <cellStyle name="Moneda 198 2 2 2" xfId="12723" xr:uid="{13E26474-102B-4582-BC20-818C12FE0905}"/>
    <cellStyle name="Moneda 198 2 3" xfId="9803" xr:uid="{76A98969-3649-4302-A283-6B0D357B7B9A}"/>
    <cellStyle name="Moneda 198 3" xfId="3882" xr:uid="{725E6084-DBCC-496E-B713-A4B157B19D7C}"/>
    <cellStyle name="Moneda 198 3 2" xfId="11450" xr:uid="{12D8D7D7-B84A-491B-B427-56BCA0759B9C}"/>
    <cellStyle name="Moneda 198 4" xfId="8530" xr:uid="{42D7ABFB-F5B9-4381-9EB5-40D58F9F567E}"/>
    <cellStyle name="Moneda 199" xfId="782" xr:uid="{66C376AD-49EA-41EF-8C75-71AA17356D79}"/>
    <cellStyle name="Moneda 199 2" xfId="2198" xr:uid="{DA2E903C-7392-4564-860B-2D1D6EA43125}"/>
    <cellStyle name="Moneda 199 2 2" xfId="5157" xr:uid="{78F6CC50-8E4C-45F2-9D3B-A0441F5A469C}"/>
    <cellStyle name="Moneda 199 2 2 2" xfId="12725" xr:uid="{207BC80B-2199-4532-8B00-F64AD983F49E}"/>
    <cellStyle name="Moneda 199 2 3" xfId="9805" xr:uid="{6860BB6F-DFFB-47E3-A9E5-5173A5B63387}"/>
    <cellStyle name="Moneda 199 3" xfId="3884" xr:uid="{D254FBA0-4012-41AC-B2F7-7B9955BC7EBA}"/>
    <cellStyle name="Moneda 199 3 2" xfId="11452" xr:uid="{F40FCF45-4A1D-421C-87CE-EED3619C4A49}"/>
    <cellStyle name="Moneda 199 4" xfId="8532" xr:uid="{33BA3F8E-B0D2-4B2C-A308-47AB3AFA78A1}"/>
    <cellStyle name="Moneda 2" xfId="16" xr:uid="{00000000-0005-0000-0000-000059000000}"/>
    <cellStyle name="Moneda 2 10" xfId="3065" xr:uid="{C3F3D2F9-627B-4299-ADEE-16917C0F0172}"/>
    <cellStyle name="Moneda 2 10 2" xfId="6069" xr:uid="{95259EAA-CB5D-4F34-9FA3-1FD47B14DE6D}"/>
    <cellStyle name="Moneda 2 10 2 2" xfId="13630" xr:uid="{063F5614-A4DF-4029-8A56-4F006DA9DE33}"/>
    <cellStyle name="Moneda 2 10 3" xfId="7473" xr:uid="{E803281F-179C-4F6E-BD0A-A4B58587D97C}"/>
    <cellStyle name="Moneda 2 10 3 2" xfId="15002" xr:uid="{9F3F49A5-30C6-49AE-8B1F-B8E62C83FF45}"/>
    <cellStyle name="Moneda 2 10 4" xfId="10647" xr:uid="{D880B007-E317-449D-8E49-9E81898FE8DB}"/>
    <cellStyle name="Moneda 2 11" xfId="3190" xr:uid="{5AE06FA3-54E3-470F-A8F9-F4D4DF7017DC}"/>
    <cellStyle name="Moneda 2 11 2" xfId="6194" xr:uid="{71315591-852B-4AE8-A014-5CFC00831236}"/>
    <cellStyle name="Moneda 2 11 2 2" xfId="13755" xr:uid="{36EB8B39-9203-4BE7-A0E0-339E951F358F}"/>
    <cellStyle name="Moneda 2 11 3" xfId="7598" xr:uid="{14A7B228-84A7-42FA-9B7A-BBF041E57872}"/>
    <cellStyle name="Moneda 2 11 3 2" xfId="15127" xr:uid="{DCA63CA9-11E0-49D5-ACA2-1781B56BB0FA}"/>
    <cellStyle name="Moneda 2 11 4" xfId="10772" xr:uid="{582B4D1E-204E-4578-AFBF-D2E5A986CA1E}"/>
    <cellStyle name="Moneda 2 12" xfId="3318" xr:uid="{70AE54A9-46D3-44CE-8B5E-42CB6EAD2B5A}"/>
    <cellStyle name="Moneda 2 12 2" xfId="6320" xr:uid="{E8577C5D-D964-4B5B-96F5-52C5673BCC93}"/>
    <cellStyle name="Moneda 2 12 2 2" xfId="13881" xr:uid="{5093BB52-D44D-4959-A681-CBCD88565F6E}"/>
    <cellStyle name="Moneda 2 12 3" xfId="7724" xr:uid="{97AB5375-87E0-4ED2-999F-C4A247AC8D8D}"/>
    <cellStyle name="Moneda 2 12 3 2" xfId="15253" xr:uid="{D0D9D73E-414E-4076-9657-3ACDA3BF3442}"/>
    <cellStyle name="Moneda 2 12 4" xfId="10898" xr:uid="{8471C7DB-06FA-4ACC-8E95-259BE66F34C6}"/>
    <cellStyle name="Moneda 2 13" xfId="2310" xr:uid="{21D256EC-9C30-43AF-B569-DDB483E8055B}"/>
    <cellStyle name="Moneda 2 13 2" xfId="6448" xr:uid="{B855EF05-8E77-4C83-9B76-E2EEBCA474CF}"/>
    <cellStyle name="Moneda 2 13 2 2" xfId="14007" xr:uid="{3BE513E0-D110-4CA3-86B4-D985BA42CE96}"/>
    <cellStyle name="Moneda 2 13 3" xfId="7850" xr:uid="{6A71C56F-59B4-4DEB-8C7C-36F10EA805A1}"/>
    <cellStyle name="Moneda 2 13 3 2" xfId="15379" xr:uid="{B0F2A56F-BDED-4FB9-83E6-A0C456B7303C}"/>
    <cellStyle name="Moneda 2 13 4" xfId="9912" xr:uid="{F3982EC9-2003-4F23-80DA-CC063BBEDD2B}"/>
    <cellStyle name="Moneda 2 14" xfId="3473" xr:uid="{71D56764-C82E-4389-A78C-0D212EE67558}"/>
    <cellStyle name="Moneda 2 14 2" xfId="11041" xr:uid="{829B21B1-E6AB-484C-9E15-FD360FEBB1F6}"/>
    <cellStyle name="Moneda 2 15" xfId="5333" xr:uid="{261F8B58-D17A-4A36-BD72-F07395AE0A15}"/>
    <cellStyle name="Moneda 2 15 2" xfId="12894" xr:uid="{65043F1E-A3FF-4D87-9AF0-7AD7BA86BB87}"/>
    <cellStyle name="Moneda 2 16" xfId="6736" xr:uid="{771D57F7-B307-4530-8761-9223FC292335}"/>
    <cellStyle name="Moneda 2 16 2" xfId="14265" xr:uid="{A850C205-2A19-4E06-842C-FBCEF15FD636}"/>
    <cellStyle name="Moneda 2 17" xfId="164" xr:uid="{F44366DC-5DFD-4A8B-A8D2-BB084AEE1384}"/>
    <cellStyle name="Moneda 2 18" xfId="8121" xr:uid="{7C3990AB-5628-449D-8966-1803F052013C}"/>
    <cellStyle name="Moneda 2 19" xfId="154" xr:uid="{164EC35D-A7C1-4D81-8D42-88F174062C84}"/>
    <cellStyle name="Moneda 2 2" xfId="27" xr:uid="{00000000-0005-0000-0000-00005A000000}"/>
    <cellStyle name="Moneda 2 2 10" xfId="3347" xr:uid="{A103EA69-7997-457B-82F3-0302D102C1C7}"/>
    <cellStyle name="Moneda 2 2 10 2" xfId="6349" xr:uid="{D224B7E5-567A-4B74-8BAA-878F07D85F96}"/>
    <cellStyle name="Moneda 2 2 10 2 2" xfId="13910" xr:uid="{3C00D9F0-0502-4976-9F88-628898E3E5E9}"/>
    <cellStyle name="Moneda 2 2 10 3" xfId="7753" xr:uid="{E109EDB1-EF30-4CF2-BB89-BA6FE8A518AA}"/>
    <cellStyle name="Moneda 2 2 10 3 2" xfId="15282" xr:uid="{D1C8DCFA-C19B-436B-9280-E18B954B3EFB}"/>
    <cellStyle name="Moneda 2 2 10 4" xfId="10927" xr:uid="{6BD30731-D325-4257-8E64-50D0CBEDC0EE}"/>
    <cellStyle name="Moneda 2 2 11" xfId="2347" xr:uid="{2CDB06AC-C871-405C-8231-845BFF58216E}"/>
    <cellStyle name="Moneda 2 2 11 2" xfId="6485" xr:uid="{68E39D23-CC89-48EA-AD08-0854D8AF82F7}"/>
    <cellStyle name="Moneda 2 2 11 2 2" xfId="14041" xr:uid="{85236B51-0913-4615-AC10-C9035C748E3D}"/>
    <cellStyle name="Moneda 2 2 11 3" xfId="7884" xr:uid="{061A05DA-0099-436B-8278-4537CA01D675}"/>
    <cellStyle name="Moneda 2 2 11 3 2" xfId="15413" xr:uid="{163DAC1B-3D62-498E-8D01-4DA5F48251CB}"/>
    <cellStyle name="Moneda 2 2 11 4" xfId="9942" xr:uid="{A054A8ED-98BC-43B4-B482-0DE3C646057D}"/>
    <cellStyle name="Moneda 2 2 12" xfId="3483" xr:uid="{0B9D7293-0347-47F5-9C30-BCE8CF5E7FB2}"/>
    <cellStyle name="Moneda 2 2 12 2" xfId="11051" xr:uid="{48AC6F12-055C-4C7C-8F13-08B26F600ED4}"/>
    <cellStyle name="Moneda 2 2 13" xfId="5364" xr:uid="{52B28952-7B2A-4AF0-8A5E-AF5FF2A6DA38}"/>
    <cellStyle name="Moneda 2 2 13 2" xfId="12925" xr:uid="{0022057B-33F5-462C-BC42-F3278AD3AC38}"/>
    <cellStyle name="Moneda 2 2 14" xfId="6768" xr:uid="{FC2BFE93-799C-492E-9EED-014FFF61E65E}"/>
    <cellStyle name="Moneda 2 2 14 2" xfId="14297" xr:uid="{DFE4AA3E-6586-4EE1-A362-DA7D9D462B48}"/>
    <cellStyle name="Moneda 2 2 15" xfId="8108" xr:uid="{569C0430-2769-4D90-B2A6-99F2439BC657}"/>
    <cellStyle name="Moneda 2 2 15 2" xfId="15633" xr:uid="{CAC878D0-DC67-41CC-9218-325ED96068F9}"/>
    <cellStyle name="Moneda 2 2 16" xfId="8131" xr:uid="{C0F0C4D4-8B11-4A48-8FC4-59C3EFC3D436}"/>
    <cellStyle name="Moneda 2 2 17" xfId="176" xr:uid="{0876BCC1-237A-4910-961C-B6F8E508206A}"/>
    <cellStyle name="Moneda 2 2 2" xfId="2412" xr:uid="{6C807C1E-19E2-4538-9927-BD29B747944A}"/>
    <cellStyle name="Moneda 2 2 2 10" xfId="6543" xr:uid="{5D1746DB-DB5A-437D-9669-A8E51A5F7D27}"/>
    <cellStyle name="Moneda 2 2 2 10 2" xfId="7942" xr:uid="{E26B7378-D00A-4ADB-9F0B-363833A1C686}"/>
    <cellStyle name="Moneda 2 2 2 10 2 2" xfId="15471" xr:uid="{1355BC61-F818-4017-97CA-B2C62AAD4D0F}"/>
    <cellStyle name="Moneda 2 2 2 10 3" xfId="14099" xr:uid="{E31D4228-0FB3-49B4-BC64-0B0992E8151C}"/>
    <cellStyle name="Moneda 2 2 2 11" xfId="5422" xr:uid="{B6273C2F-941C-4775-83D0-F346F8D30649}"/>
    <cellStyle name="Moneda 2 2 2 11 2" xfId="12983" xr:uid="{7A91883A-6335-47E7-AD23-EB267C5FE481}"/>
    <cellStyle name="Moneda 2 2 2 12" xfId="6826" xr:uid="{A135A3C1-5C63-43AF-B298-F502C077660C}"/>
    <cellStyle name="Moneda 2 2 2 12 2" xfId="14355" xr:uid="{C5D90F09-5EC1-4925-BDB4-68ED417E43AB}"/>
    <cellStyle name="Moneda 2 2 2 13" xfId="8111" xr:uid="{436E9F57-5470-4C52-A7F8-07122DCE9E83}"/>
    <cellStyle name="Moneda 2 2 2 13 2" xfId="15635" xr:uid="{2E43A72D-C670-4367-871E-EAC7D93D1E61}"/>
    <cellStyle name="Moneda 2 2 2 14" xfId="10000" xr:uid="{81C3FDD2-949C-464F-A0A7-AF04E6E32688}"/>
    <cellStyle name="Moneda 2 2 2 2" xfId="2536" xr:uid="{9D8B45D1-186D-4C18-954C-CB93D9D28CB9}"/>
    <cellStyle name="Moneda 2 2 2 2 2" xfId="6678" xr:uid="{5B5794CF-C4FB-4E18-A196-023E3128B617}"/>
    <cellStyle name="Moneda 2 2 2 2 2 2" xfId="8064" xr:uid="{49624C83-E4FA-448F-A3C6-2C1E4CE05727}"/>
    <cellStyle name="Moneda 2 2 2 2 2 2 2" xfId="15593" xr:uid="{4E23D8C2-57FC-4FBC-B263-8061712552EA}"/>
    <cellStyle name="Moneda 2 2 2 2 2 3" xfId="14221" xr:uid="{ABEC3F48-881F-40D3-803A-BE5D1BCA8D8C}"/>
    <cellStyle name="Moneda 2 2 2 2 3" xfId="5542" xr:uid="{59531371-16AF-4084-893F-2971EDE46F90}"/>
    <cellStyle name="Moneda 2 2 2 2 3 2" xfId="13103" xr:uid="{F323B073-1378-484C-9F42-8107A2E3C250}"/>
    <cellStyle name="Moneda 2 2 2 2 4" xfId="6946" xr:uid="{BD7B27A0-FE25-4862-A6CF-BD53E90250E5}"/>
    <cellStyle name="Moneda 2 2 2 2 4 2" xfId="14475" xr:uid="{916DB87F-8398-4192-A51E-97B6F793AE79}"/>
    <cellStyle name="Moneda 2 2 2 2 5" xfId="10120" xr:uid="{B4B8E4E3-8B4D-4599-A3EA-308B5B8516D4}"/>
    <cellStyle name="Moneda 2 2 2 3" xfId="2657" xr:uid="{FE9A362D-2A89-40F6-BC91-90678898EBB4}"/>
    <cellStyle name="Moneda 2 2 2 3 2" xfId="5662" xr:uid="{5DE2B9EA-C3ED-4562-8522-339F2F5BB6CD}"/>
    <cellStyle name="Moneda 2 2 2 3 2 2" xfId="13223" xr:uid="{1F5B6B19-B0DE-412E-A01B-33CEE691C9AD}"/>
    <cellStyle name="Moneda 2 2 2 3 3" xfId="7066" xr:uid="{812FB6DB-AA61-4A12-87EA-B7AFCA2A6F4A}"/>
    <cellStyle name="Moneda 2 2 2 3 3 2" xfId="14595" xr:uid="{152E6DC9-CA5D-4A38-BD3F-65E44330D46B}"/>
    <cellStyle name="Moneda 2 2 2 3 4" xfId="10240" xr:uid="{9100E78F-67E4-4455-A241-47DB354C3E8E}"/>
    <cellStyle name="Moneda 2 2 2 4" xfId="2779" xr:uid="{7419CA53-8F21-4E9E-9C5C-1E8EBF83F60D}"/>
    <cellStyle name="Moneda 2 2 2 4 2" xfId="5784" xr:uid="{ED61BFF3-4D82-4DF6-8E2B-C988BF8C905D}"/>
    <cellStyle name="Moneda 2 2 2 4 2 2" xfId="13345" xr:uid="{5FF5544A-88D1-434B-959D-63FE6D7C9468}"/>
    <cellStyle name="Moneda 2 2 2 4 3" xfId="7188" xr:uid="{36EDF456-B293-4933-8A78-32C883B91FE3}"/>
    <cellStyle name="Moneda 2 2 2 4 3 2" xfId="14717" xr:uid="{9AC2EE11-FC43-4934-B14C-91FE2458A036}"/>
    <cellStyle name="Moneda 2 2 2 4 4" xfId="10362" xr:uid="{BF0204E6-67C4-43D6-ACEC-0ECB5C377F1E}"/>
    <cellStyle name="Moneda 2 2 2 5" xfId="2904" xr:uid="{4451604C-8154-41A9-A167-9D3CA3161F1E}"/>
    <cellStyle name="Moneda 2 2 2 5 2" xfId="5908" xr:uid="{CCD6DCBD-0BF8-41E0-B4C6-A30D4220A3B9}"/>
    <cellStyle name="Moneda 2 2 2 5 2 2" xfId="13469" xr:uid="{78905762-63B9-4EE5-8AA7-90D11E6EBDCC}"/>
    <cellStyle name="Moneda 2 2 2 5 3" xfId="7312" xr:uid="{C5EA069D-436E-444E-B2B1-C50955D0B0B6}"/>
    <cellStyle name="Moneda 2 2 2 5 3 2" xfId="14841" xr:uid="{23DDCF58-3070-4B4D-BAD6-835838BA2185}"/>
    <cellStyle name="Moneda 2 2 2 5 4" xfId="10486" xr:uid="{5E844F7C-2CA4-4189-877C-C8EBADF7BF03}"/>
    <cellStyle name="Moneda 2 2 2 6" xfId="3028" xr:uid="{D41AFF7F-4883-4ED9-93E5-5D641BA227AF}"/>
    <cellStyle name="Moneda 2 2 2 6 2" xfId="6032" xr:uid="{08CF4590-179F-4A60-9B03-FD627C45516A}"/>
    <cellStyle name="Moneda 2 2 2 6 2 2" xfId="13593" xr:uid="{ACF5C9B9-300A-46AC-9285-43035FD64404}"/>
    <cellStyle name="Moneda 2 2 2 6 3" xfId="7436" xr:uid="{C1D1A8AB-3934-490C-AA60-D0152EB9D02C}"/>
    <cellStyle name="Moneda 2 2 2 6 3 2" xfId="14965" xr:uid="{ABFEE8B9-3B12-449A-B83C-E6442DE25873}"/>
    <cellStyle name="Moneda 2 2 2 6 4" xfId="10610" xr:uid="{FC5FE9FD-BDC8-48E3-8D8D-C6B305FEF0C3}"/>
    <cellStyle name="Moneda 2 2 2 7" xfId="3152" xr:uid="{6ED2D673-7225-431E-80E9-F1DBC456A650}"/>
    <cellStyle name="Moneda 2 2 2 7 2" xfId="6156" xr:uid="{F71E22EE-1780-4224-8643-F9E2580236B8}"/>
    <cellStyle name="Moneda 2 2 2 7 2 2" xfId="13717" xr:uid="{3595A5CD-85DE-4FF3-ABFF-EC3380F3EADC}"/>
    <cellStyle name="Moneda 2 2 2 7 3" xfId="7560" xr:uid="{2B33F9D0-563D-4690-8874-071E8D0D5CD5}"/>
    <cellStyle name="Moneda 2 2 2 7 3 2" xfId="15089" xr:uid="{1BE2EEE9-88E4-47E0-934A-9C0E4F8298EF}"/>
    <cellStyle name="Moneda 2 2 2 7 4" xfId="10734" xr:uid="{D16FAC10-7E82-44AB-A675-4E19209ED6F4}"/>
    <cellStyle name="Moneda 2 2 2 8" xfId="3277" xr:uid="{84D1455B-7E84-42A8-BB68-D0B2260188A7}"/>
    <cellStyle name="Moneda 2 2 2 8 2" xfId="6281" xr:uid="{8FF1CF6F-2C6C-41AB-8AB1-C17B20649A31}"/>
    <cellStyle name="Moneda 2 2 2 8 2 2" xfId="13842" xr:uid="{9814167E-C2DE-4DE1-9BD4-7B535F9CD44F}"/>
    <cellStyle name="Moneda 2 2 2 8 3" xfId="7685" xr:uid="{4438EE84-8B56-4CAF-B910-BA7DC5CD712B}"/>
    <cellStyle name="Moneda 2 2 2 8 3 2" xfId="15214" xr:uid="{4302F92E-2C72-45FA-873A-E38E9AFDDBF6}"/>
    <cellStyle name="Moneda 2 2 2 8 4" xfId="10859" xr:uid="{EF095663-79AB-45F2-98EE-FC4CD2105A44}"/>
    <cellStyle name="Moneda 2 2 2 9" xfId="3405" xr:uid="{E78085D2-B72D-4A92-9FA9-8672C2A1E254}"/>
    <cellStyle name="Moneda 2 2 2 9 2" xfId="6407" xr:uid="{19279648-888D-4F00-B086-E88AF5CF9495}"/>
    <cellStyle name="Moneda 2 2 2 9 2 2" xfId="13968" xr:uid="{5C541391-26D0-4D52-9428-EE58620929D7}"/>
    <cellStyle name="Moneda 2 2 2 9 3" xfId="7811" xr:uid="{71AD39EE-B85C-4563-AA4D-7B98B3429AAA}"/>
    <cellStyle name="Moneda 2 2 2 9 3 2" xfId="15340" xr:uid="{40631596-E657-450D-AD1C-236D66065310}"/>
    <cellStyle name="Moneda 2 2 2 9 4" xfId="10985" xr:uid="{CFB98BA3-D18A-44F7-A4C4-8EB3E04A21A1}"/>
    <cellStyle name="Moneda 2 2 3" xfId="2478" xr:uid="{74F93735-DF0F-45BA-887E-12C295268DCE}"/>
    <cellStyle name="Moneda 2 2 3 2" xfId="6620" xr:uid="{2C863093-2FDD-4080-9A8E-C58BFD4319A0}"/>
    <cellStyle name="Moneda 2 2 3 2 2" xfId="8006" xr:uid="{6D1C59AA-8140-4D19-812F-3D8977FCE6F6}"/>
    <cellStyle name="Moneda 2 2 3 2 2 2" xfId="15535" xr:uid="{585454DE-A0FB-4FD5-9ED4-85CF982D8C1B}"/>
    <cellStyle name="Moneda 2 2 3 2 3" xfId="14163" xr:uid="{744F783A-1634-4B65-85E2-CBF93040BE3D}"/>
    <cellStyle name="Moneda 2 2 3 3" xfId="5484" xr:uid="{2E6A55D7-F40C-4E66-804D-3E417EEFEA7B}"/>
    <cellStyle name="Moneda 2 2 3 3 2" xfId="13045" xr:uid="{89E1E93B-E48E-44BB-A2E9-30137B1A2548}"/>
    <cellStyle name="Moneda 2 2 3 4" xfId="6888" xr:uid="{15ED70BA-9057-438B-94C0-0591DF4EE656}"/>
    <cellStyle name="Moneda 2 2 3 4 2" xfId="14417" xr:uid="{D49405FF-5DFA-4284-9A45-17C29C93A40A}"/>
    <cellStyle name="Moneda 2 2 3 5" xfId="10062" xr:uid="{336605C4-EC9E-421C-BFAB-AED77C1C1547}"/>
    <cellStyle name="Moneda 2 2 4" xfId="2599" xr:uid="{BE5D2B8F-96C5-4BE2-A585-D3CC6C680A3A}"/>
    <cellStyle name="Moneda 2 2 4 2" xfId="5604" xr:uid="{1358307C-2126-4893-B181-0C62A372C816}"/>
    <cellStyle name="Moneda 2 2 4 2 2" xfId="13165" xr:uid="{BFEF3EB4-4F86-49F5-80C1-B3182EE5AEB3}"/>
    <cellStyle name="Moneda 2 2 4 3" xfId="7008" xr:uid="{6EB46535-11DD-47FA-AF82-770085CB2810}"/>
    <cellStyle name="Moneda 2 2 4 3 2" xfId="14537" xr:uid="{0074BFFB-EA10-4A90-9C42-F6FC3749FA28}"/>
    <cellStyle name="Moneda 2 2 4 4" xfId="10182" xr:uid="{3E157541-087F-451B-91CD-E1A2A3A2C5BF}"/>
    <cellStyle name="Moneda 2 2 5" xfId="2721" xr:uid="{7D20F273-D7B6-4368-954D-5754E7D84154}"/>
    <cellStyle name="Moneda 2 2 5 2" xfId="5726" xr:uid="{CBBE85F6-247C-4238-BE92-D14F65C733BC}"/>
    <cellStyle name="Moneda 2 2 5 2 2" xfId="13287" xr:uid="{E1F4F781-7986-473D-8D24-681B8AEAF875}"/>
    <cellStyle name="Moneda 2 2 5 3" xfId="7130" xr:uid="{817BA456-05B0-4537-9B1D-5A46DD4E79A2}"/>
    <cellStyle name="Moneda 2 2 5 3 2" xfId="14659" xr:uid="{2A5CD0F2-7523-4881-B684-B7DC851AE320}"/>
    <cellStyle name="Moneda 2 2 5 4" xfId="10304" xr:uid="{B654D9CD-C66C-4389-BE13-3909FB320CF8}"/>
    <cellStyle name="Moneda 2 2 6" xfId="2846" xr:uid="{BDB4A5DD-0F2B-405D-96F4-E0071BAE3410}"/>
    <cellStyle name="Moneda 2 2 6 2" xfId="5850" xr:uid="{DF24A496-62F8-4CE9-9111-1329A0CD7BF9}"/>
    <cellStyle name="Moneda 2 2 6 2 2" xfId="13411" xr:uid="{C53A8E5C-BEC9-46E4-972A-E891E533253C}"/>
    <cellStyle name="Moneda 2 2 6 3" xfId="7254" xr:uid="{D31BE120-46B8-4B5B-9D35-D6820DFFCE83}"/>
    <cellStyle name="Moneda 2 2 6 3 2" xfId="14783" xr:uid="{10AEE2D5-D62A-473C-9E1B-DBF177362FC3}"/>
    <cellStyle name="Moneda 2 2 6 4" xfId="10428" xr:uid="{61D1CF7E-65C9-4931-B88A-435C7B77C921}"/>
    <cellStyle name="Moneda 2 2 7" xfId="2970" xr:uid="{808A5FA5-D1C2-47C2-95A0-F176B5D3405D}"/>
    <cellStyle name="Moneda 2 2 7 2" xfId="5974" xr:uid="{2555D19A-5E4D-42BB-BB89-011C02553D0B}"/>
    <cellStyle name="Moneda 2 2 7 2 2" xfId="13535" xr:uid="{856EA4AD-26AA-4F83-9611-BF6850729BE9}"/>
    <cellStyle name="Moneda 2 2 7 3" xfId="7378" xr:uid="{4C15FB8B-8A82-49D7-AF2E-B1E258A67DE4}"/>
    <cellStyle name="Moneda 2 2 7 3 2" xfId="14907" xr:uid="{26720D4F-3566-4289-BDBF-D118075CC787}"/>
    <cellStyle name="Moneda 2 2 7 4" xfId="10552" xr:uid="{01556F77-FECD-4189-90A8-13E7CC9EFB7E}"/>
    <cellStyle name="Moneda 2 2 8" xfId="3094" xr:uid="{E09248BE-12E2-4128-9F62-842D8C00B421}"/>
    <cellStyle name="Moneda 2 2 8 2" xfId="6098" xr:uid="{2719709B-B73A-4E11-A1A8-4CE0E9CB1C0B}"/>
    <cellStyle name="Moneda 2 2 8 2 2" xfId="13659" xr:uid="{C35A9260-1B61-488B-8566-7E1E451A1C92}"/>
    <cellStyle name="Moneda 2 2 8 3" xfId="7502" xr:uid="{39CE0E42-C2F0-44DB-8696-4772C3DF2251}"/>
    <cellStyle name="Moneda 2 2 8 3 2" xfId="15031" xr:uid="{5A3FFD89-5270-47F5-8226-E4DBB7856DBA}"/>
    <cellStyle name="Moneda 2 2 8 4" xfId="10676" xr:uid="{E38A8901-ED88-4360-B497-139313B0B4F7}"/>
    <cellStyle name="Moneda 2 2 9" xfId="3219" xr:uid="{0C8D733D-5A24-421B-B190-034F4270DEDD}"/>
    <cellStyle name="Moneda 2 2 9 2" xfId="6223" xr:uid="{91D4BF44-4BE9-4EF5-BFFF-8C50CA3C914C}"/>
    <cellStyle name="Moneda 2 2 9 2 2" xfId="13784" xr:uid="{99AFAB90-93B9-4E78-889A-343AE507AD55}"/>
    <cellStyle name="Moneda 2 2 9 3" xfId="7627" xr:uid="{293339F2-B801-46CC-871C-87C08CC23073}"/>
    <cellStyle name="Moneda 2 2 9 3 2" xfId="15156" xr:uid="{FBFF312C-349D-42DF-98F7-EEE2F4AA3006}"/>
    <cellStyle name="Moneda 2 2 9 4" xfId="10801" xr:uid="{2EC539EA-0DDA-48AB-850D-6DB41AF2D384}"/>
    <cellStyle name="Moneda 2 3" xfId="42" xr:uid="{00000000-0005-0000-0000-00005B000000}"/>
    <cellStyle name="Moneda 2 3 10" xfId="3201" xr:uid="{FABA4178-241B-47FE-8443-C4461CDCD8C9}"/>
    <cellStyle name="Moneda 2 3 10 2" xfId="6205" xr:uid="{4A919CA1-17A0-41DA-87D1-2F062C487C2F}"/>
    <cellStyle name="Moneda 2 3 10 2 2" xfId="13766" xr:uid="{5B423C4D-DEEE-433E-8258-7C0A638A94F0}"/>
    <cellStyle name="Moneda 2 3 10 3" xfId="7609" xr:uid="{B74D4039-8766-4C80-BBF3-857796965C40}"/>
    <cellStyle name="Moneda 2 3 10 3 2" xfId="15138" xr:uid="{CFB4F54E-9080-46A3-9DC5-5B6768083BAA}"/>
    <cellStyle name="Moneda 2 3 10 4" xfId="10783" xr:uid="{20CFA5E8-D9AA-4916-AA45-5F4D9C7607B7}"/>
    <cellStyle name="Moneda 2 3 11" xfId="3329" xr:uid="{155BFA15-D716-450C-8796-AAA30280B97E}"/>
    <cellStyle name="Moneda 2 3 11 2" xfId="6331" xr:uid="{130536B1-13C8-40DD-B38E-34C429C910CE}"/>
    <cellStyle name="Moneda 2 3 11 2 2" xfId="13892" xr:uid="{8D1E15F7-90BF-4737-93B9-B36A39EB1D22}"/>
    <cellStyle name="Moneda 2 3 11 3" xfId="7735" xr:uid="{DBCD2C1A-6AF1-4802-9062-0B38B6FEFA07}"/>
    <cellStyle name="Moneda 2 3 11 3 2" xfId="15264" xr:uid="{C104D444-CC71-417F-AB76-5369B1AB5A00}"/>
    <cellStyle name="Moneda 2 3 11 4" xfId="10909" xr:uid="{20EC4A27-6284-48BB-A3D4-F1371456F355}"/>
    <cellStyle name="Moneda 2 3 12" xfId="2325" xr:uid="{3FA7ABF0-F18F-48C9-B1C9-BC9EF18A38A4}"/>
    <cellStyle name="Moneda 2 3 12 2" xfId="6467" xr:uid="{62590312-F900-4B78-AA56-9A6894203A17}"/>
    <cellStyle name="Moneda 2 3 12 2 2" xfId="14023" xr:uid="{75675D7A-D4C3-4194-9ED8-E7E4659F894D}"/>
    <cellStyle name="Moneda 2 3 12 3" xfId="7866" xr:uid="{97C04FB5-4A9C-4052-BB7F-8213BDD445A1}"/>
    <cellStyle name="Moneda 2 3 12 3 2" xfId="15395" xr:uid="{227D851C-16E5-422D-9737-0986C4694FA0}"/>
    <cellStyle name="Moneda 2 3 12 4" xfId="9923" xr:uid="{D8DC9072-2F00-416D-9257-29220A4ED745}"/>
    <cellStyle name="Moneda 2 3 13" xfId="3496" xr:uid="{57CE9F72-502A-4C0B-9F0E-487A7F825E9F}"/>
    <cellStyle name="Moneda 2 3 13 2" xfId="11064" xr:uid="{5A50A459-8644-445C-88F0-23761D349C69}"/>
    <cellStyle name="Moneda 2 3 14" xfId="5344" xr:uid="{FB4714DB-0891-4A13-8D04-C7BC3C1626D2}"/>
    <cellStyle name="Moneda 2 3 14 2" xfId="12905" xr:uid="{EDA3ECD2-C449-483E-9806-E996FA79A1BF}"/>
    <cellStyle name="Moneda 2 3 15" xfId="6748" xr:uid="{321D2A4C-FA41-4588-891B-04541D1AB0E7}"/>
    <cellStyle name="Moneda 2 3 15 2" xfId="14277" xr:uid="{4CF1D987-011C-483C-82D6-FB7C73C919DD}"/>
    <cellStyle name="Moneda 2 3 16" xfId="8144" xr:uid="{5B3D4DA6-88F3-49E9-BF2F-CEE44B49060B}"/>
    <cellStyle name="Moneda 2 3 17" xfId="196" xr:uid="{1D008CBC-A70C-459A-AF21-554E2E844D2F}"/>
    <cellStyle name="Moneda 2 3 2" xfId="2360" xr:uid="{B298D73B-1D3E-45FB-A5DD-2FA70CD759F4}"/>
    <cellStyle name="Moneda 2 3 2 10" xfId="3358" xr:uid="{8040528B-308A-4BC4-A7CD-B67FC0B83EF8}"/>
    <cellStyle name="Moneda 2 3 2 10 2" xfId="6360" xr:uid="{06472DB7-E37C-447B-A518-EA249DB14EB3}"/>
    <cellStyle name="Moneda 2 3 2 10 2 2" xfId="13921" xr:uid="{2F2CDF7A-2782-4381-9C17-188F8E338338}"/>
    <cellStyle name="Moneda 2 3 2 10 3" xfId="7764" xr:uid="{29519E02-19D1-43BB-B901-F41A07BDD16C}"/>
    <cellStyle name="Moneda 2 3 2 10 3 2" xfId="15293" xr:uid="{F768697E-E79E-45F2-B36B-4E277AF45013}"/>
    <cellStyle name="Moneda 2 3 2 10 4" xfId="10938" xr:uid="{7F4B2E2C-55F3-4574-9FEE-BC00FB0EB337}"/>
    <cellStyle name="Moneda 2 3 2 11" xfId="6496" xr:uid="{D140BEC2-A004-4853-9B66-9DCB1D6138A7}"/>
    <cellStyle name="Moneda 2 3 2 11 2" xfId="7895" xr:uid="{F1F8BAE0-1996-4816-B915-2959D30AF6BD}"/>
    <cellStyle name="Moneda 2 3 2 11 2 2" xfId="15424" xr:uid="{7E477876-32E1-4143-ACFF-0BFF74BD24BA}"/>
    <cellStyle name="Moneda 2 3 2 11 3" xfId="14052" xr:uid="{560BCF6E-54BA-469E-BA34-E2D3EC14D227}"/>
    <cellStyle name="Moneda 2 3 2 12" xfId="5375" xr:uid="{91B5B58E-7404-41E3-8A74-1EA995D4A0A7}"/>
    <cellStyle name="Moneda 2 3 2 12 2" xfId="12936" xr:uid="{EC90D14E-8632-48F8-8BD0-FBE2E600B1FA}"/>
    <cellStyle name="Moneda 2 3 2 13" xfId="6779" xr:uid="{C08A478C-E8F3-4267-B950-0FEFD5234B4B}"/>
    <cellStyle name="Moneda 2 3 2 13 2" xfId="14308" xr:uid="{E8B9B327-5250-4E02-8AA3-9D54092FB68D}"/>
    <cellStyle name="Moneda 2 3 2 14" xfId="9953" xr:uid="{EB17EDB7-C949-4A11-B86A-FB939CDB6A2E}"/>
    <cellStyle name="Moneda 2 3 2 2" xfId="2423" xr:uid="{294EBB1D-3D0F-4E4C-8ED0-A98BE136A12D}"/>
    <cellStyle name="Moneda 2 3 2 2 10" xfId="6554" xr:uid="{91AA0D3A-6F54-4904-8428-2F99DA577007}"/>
    <cellStyle name="Moneda 2 3 2 2 10 2" xfId="7953" xr:uid="{59075B29-DB53-47A9-9F8D-4F0F6FCB1B43}"/>
    <cellStyle name="Moneda 2 3 2 2 10 2 2" xfId="15482" xr:uid="{23661023-0031-4DA1-BA7E-CD1D835A553B}"/>
    <cellStyle name="Moneda 2 3 2 2 10 3" xfId="14110" xr:uid="{EB2B28BD-87DF-40B1-A6E5-EE87CA3732BA}"/>
    <cellStyle name="Moneda 2 3 2 2 11" xfId="5433" xr:uid="{47CBF806-B9EC-4D3C-A3B5-CFFE1C3E9775}"/>
    <cellStyle name="Moneda 2 3 2 2 11 2" xfId="12994" xr:uid="{8B169C7E-5008-49FA-80F2-D49E381198E8}"/>
    <cellStyle name="Moneda 2 3 2 2 12" xfId="6837" xr:uid="{2312A746-BA5A-47A3-A0E1-6B86542CA8D0}"/>
    <cellStyle name="Moneda 2 3 2 2 12 2" xfId="14366" xr:uid="{B23C5E8F-9787-43DE-8066-362312019640}"/>
    <cellStyle name="Moneda 2 3 2 2 13" xfId="10011" xr:uid="{F8A39FBF-598E-45B5-9C07-AB53B671074E}"/>
    <cellStyle name="Moneda 2 3 2 2 2" xfId="2547" xr:uid="{C509FA49-67C7-4697-8DBE-7AC26D062483}"/>
    <cellStyle name="Moneda 2 3 2 2 2 2" xfId="6689" xr:uid="{CD564326-02D0-49E5-AAB9-B1EEF22B31DC}"/>
    <cellStyle name="Moneda 2 3 2 2 2 2 2" xfId="8075" xr:uid="{AD810B22-2E52-4F8B-B4BF-CEA41ECA666A}"/>
    <cellStyle name="Moneda 2 3 2 2 2 2 2 2" xfId="15604" xr:uid="{A52AEBC5-5A59-4D5C-904E-BD0AFB93E78C}"/>
    <cellStyle name="Moneda 2 3 2 2 2 2 3" xfId="14232" xr:uid="{6960F8AF-7A4E-4233-9882-DFE7D6307863}"/>
    <cellStyle name="Moneda 2 3 2 2 2 3" xfId="5553" xr:uid="{7EF63D8D-ACAE-4EBE-AB6F-462469427B71}"/>
    <cellStyle name="Moneda 2 3 2 2 2 3 2" xfId="13114" xr:uid="{B266D2A0-D240-42D9-8B40-FD834BB66066}"/>
    <cellStyle name="Moneda 2 3 2 2 2 4" xfId="6957" xr:uid="{EBB1739D-1E2F-4644-A095-05232B7E5C37}"/>
    <cellStyle name="Moneda 2 3 2 2 2 4 2" xfId="14486" xr:uid="{EDCCB4EC-072A-42EA-9B05-6567C4EF128C}"/>
    <cellStyle name="Moneda 2 3 2 2 2 5" xfId="10131" xr:uid="{EEBC0C0E-8118-40F0-B7D9-9137BA687B56}"/>
    <cellStyle name="Moneda 2 3 2 2 3" xfId="2668" xr:uid="{811FD99C-8834-4DAA-A455-B90F6A56ECCE}"/>
    <cellStyle name="Moneda 2 3 2 2 3 2" xfId="5673" xr:uid="{20567E1D-CC22-462E-B103-479410B1BA37}"/>
    <cellStyle name="Moneda 2 3 2 2 3 2 2" xfId="13234" xr:uid="{8C91C416-F1DE-45ED-8333-C4823D2D21CC}"/>
    <cellStyle name="Moneda 2 3 2 2 3 3" xfId="7077" xr:uid="{8710903E-2D4A-49F2-A204-8E5B848A49FD}"/>
    <cellStyle name="Moneda 2 3 2 2 3 3 2" xfId="14606" xr:uid="{E95B5665-D09A-4C1D-AB55-26911BF94540}"/>
    <cellStyle name="Moneda 2 3 2 2 3 4" xfId="10251" xr:uid="{BB5B3D7D-990B-4950-B13F-B4F1EF0D47F9}"/>
    <cellStyle name="Moneda 2 3 2 2 4" xfId="2790" xr:uid="{FD8FCF84-1BEA-4B86-821E-0906E410B6B5}"/>
    <cellStyle name="Moneda 2 3 2 2 4 2" xfId="5795" xr:uid="{54265C6A-10C9-4225-A9F0-FC0FBAB3E6FD}"/>
    <cellStyle name="Moneda 2 3 2 2 4 2 2" xfId="13356" xr:uid="{5899DE52-8780-4991-BB9A-8DC9D2E3A746}"/>
    <cellStyle name="Moneda 2 3 2 2 4 3" xfId="7199" xr:uid="{10CCE134-C3F0-4BA4-8428-D254E235F821}"/>
    <cellStyle name="Moneda 2 3 2 2 4 3 2" xfId="14728" xr:uid="{EB3BEC58-C1EC-4F5D-8AE3-2116C626BCA3}"/>
    <cellStyle name="Moneda 2 3 2 2 4 4" xfId="10373" xr:uid="{434AA3AC-32DC-4D2B-AB95-4804085A8AAF}"/>
    <cellStyle name="Moneda 2 3 2 2 5" xfId="2915" xr:uid="{9AF6315E-1265-40B8-AC8F-E2C498432E91}"/>
    <cellStyle name="Moneda 2 3 2 2 5 2" xfId="5919" xr:uid="{3090D70D-9B46-437D-8DF6-A00981913263}"/>
    <cellStyle name="Moneda 2 3 2 2 5 2 2" xfId="13480" xr:uid="{5AF644CE-6DA5-4955-AAB7-65E5D6B259D6}"/>
    <cellStyle name="Moneda 2 3 2 2 5 3" xfId="7323" xr:uid="{172DF66E-492C-4A75-B6F3-7AEB10F688D8}"/>
    <cellStyle name="Moneda 2 3 2 2 5 3 2" xfId="14852" xr:uid="{D597FB12-356E-4465-BA2F-0BCBEB38F826}"/>
    <cellStyle name="Moneda 2 3 2 2 5 4" xfId="10497" xr:uid="{F4DF66E4-9FB7-4EF9-8669-22A36A2CF4B5}"/>
    <cellStyle name="Moneda 2 3 2 2 6" xfId="3039" xr:uid="{442635E6-7BD8-440A-8767-0C1F2A51FC06}"/>
    <cellStyle name="Moneda 2 3 2 2 6 2" xfId="6043" xr:uid="{5AF31845-7982-4BD1-9922-6E9ACED01875}"/>
    <cellStyle name="Moneda 2 3 2 2 6 2 2" xfId="13604" xr:uid="{C1342EDD-61EF-42EE-936A-4CB6932B2215}"/>
    <cellStyle name="Moneda 2 3 2 2 6 3" xfId="7447" xr:uid="{599200CF-60BA-492F-9626-80BC85432A6C}"/>
    <cellStyle name="Moneda 2 3 2 2 6 3 2" xfId="14976" xr:uid="{1F65B735-B192-4368-AED2-D1AD9CEC105D}"/>
    <cellStyle name="Moneda 2 3 2 2 6 4" xfId="10621" xr:uid="{66CBD1BA-0CC1-470F-88B2-003E3D6677EB}"/>
    <cellStyle name="Moneda 2 3 2 2 7" xfId="3163" xr:uid="{86B23AF5-4E7D-411E-8506-4405D4D22C74}"/>
    <cellStyle name="Moneda 2 3 2 2 7 2" xfId="6167" xr:uid="{500DB496-489F-4015-BE2D-B9A0380831DC}"/>
    <cellStyle name="Moneda 2 3 2 2 7 2 2" xfId="13728" xr:uid="{E38ADBB0-52A2-42DE-8EA9-EBB862D866FE}"/>
    <cellStyle name="Moneda 2 3 2 2 7 3" xfId="7571" xr:uid="{ED4EF7E8-B7D2-4E8A-BF1C-0EB658C86790}"/>
    <cellStyle name="Moneda 2 3 2 2 7 3 2" xfId="15100" xr:uid="{7674A388-1CC5-4FEF-8872-FF7C3993D9F3}"/>
    <cellStyle name="Moneda 2 3 2 2 7 4" xfId="10745" xr:uid="{57B31324-0C7C-4604-AD80-951FB368160C}"/>
    <cellStyle name="Moneda 2 3 2 2 8" xfId="3288" xr:uid="{D0911281-1FA1-4209-9F8E-9C0BE3BB36D3}"/>
    <cellStyle name="Moneda 2 3 2 2 8 2" xfId="6292" xr:uid="{64A54907-910A-40E4-AA69-FA6455E3442A}"/>
    <cellStyle name="Moneda 2 3 2 2 8 2 2" xfId="13853" xr:uid="{C33BE202-D15B-49FA-9A9B-C4CFF9CE03A6}"/>
    <cellStyle name="Moneda 2 3 2 2 8 3" xfId="7696" xr:uid="{6965B009-C12F-425D-9146-FB2CD1031C66}"/>
    <cellStyle name="Moneda 2 3 2 2 8 3 2" xfId="15225" xr:uid="{8D142279-DF65-4FFF-B53E-2ABC0B49B20D}"/>
    <cellStyle name="Moneda 2 3 2 2 8 4" xfId="10870" xr:uid="{B5C4E950-F523-4C62-AD00-52E599B9AAE5}"/>
    <cellStyle name="Moneda 2 3 2 2 9" xfId="3416" xr:uid="{F0AAD3DF-CC34-4C1B-8C72-7B3CFB88BF4C}"/>
    <cellStyle name="Moneda 2 3 2 2 9 2" xfId="6418" xr:uid="{901FE400-4DD8-41F0-B119-DDF215B9FF0C}"/>
    <cellStyle name="Moneda 2 3 2 2 9 2 2" xfId="13979" xr:uid="{D640C609-0E88-4216-B345-DB1340D6359B}"/>
    <cellStyle name="Moneda 2 3 2 2 9 3" xfId="7822" xr:uid="{FF9992ED-0872-41BD-B4F7-D5191EE08FD5}"/>
    <cellStyle name="Moneda 2 3 2 2 9 3 2" xfId="15351" xr:uid="{B9425FE7-7DF6-44B1-9A82-96561782C1A5}"/>
    <cellStyle name="Moneda 2 3 2 2 9 4" xfId="10996" xr:uid="{21A72991-086F-4C01-8B7F-9778ABF9A158}"/>
    <cellStyle name="Moneda 2 3 2 3" xfId="2489" xr:uid="{5C96F0DE-DB59-48A3-9ADA-E292A6236CA4}"/>
    <cellStyle name="Moneda 2 3 2 3 2" xfId="6631" xr:uid="{5D74333F-AFAE-49CF-AD98-FA5C25E366DA}"/>
    <cellStyle name="Moneda 2 3 2 3 2 2" xfId="8017" xr:uid="{D8F971C6-6DC8-498C-9E5F-C427576A5125}"/>
    <cellStyle name="Moneda 2 3 2 3 2 2 2" xfId="15546" xr:uid="{BD927281-B8D8-4F51-8CBC-34FD14D7C956}"/>
    <cellStyle name="Moneda 2 3 2 3 2 3" xfId="14174" xr:uid="{BCB6DD36-C1CD-46DF-B7DE-C4C4D65B354C}"/>
    <cellStyle name="Moneda 2 3 2 3 3" xfId="5495" xr:uid="{DC30BBA9-1891-4780-B309-3D82145BF0DE}"/>
    <cellStyle name="Moneda 2 3 2 3 3 2" xfId="13056" xr:uid="{9621F464-8839-4E19-B2C2-2ABFB07ADADE}"/>
    <cellStyle name="Moneda 2 3 2 3 4" xfId="6899" xr:uid="{DBF5A8E6-BE24-4FC0-8E73-C16D7C681675}"/>
    <cellStyle name="Moneda 2 3 2 3 4 2" xfId="14428" xr:uid="{6363354C-0822-46F2-A292-09C16F4242ED}"/>
    <cellStyle name="Moneda 2 3 2 3 5" xfId="10073" xr:uid="{A461DE67-A73D-4D81-B1F7-DF212C928BCB}"/>
    <cellStyle name="Moneda 2 3 2 4" xfId="2610" xr:uid="{CBFB1A0B-44D5-4D4E-9D93-9CACEA8E70CC}"/>
    <cellStyle name="Moneda 2 3 2 4 2" xfId="5615" xr:uid="{DC4A5453-3F54-4799-8E91-75B3B0C21EE2}"/>
    <cellStyle name="Moneda 2 3 2 4 2 2" xfId="13176" xr:uid="{5CB692E8-E049-4A4D-A12B-66B604D24BAA}"/>
    <cellStyle name="Moneda 2 3 2 4 3" xfId="7019" xr:uid="{922B2462-C985-4ECB-A692-1E86BC529D66}"/>
    <cellStyle name="Moneda 2 3 2 4 3 2" xfId="14548" xr:uid="{0141C956-F97D-4FA3-B68F-50CC13F55362}"/>
    <cellStyle name="Moneda 2 3 2 4 4" xfId="10193" xr:uid="{75A7D807-8D6A-44E5-BB81-1128CD4F3B92}"/>
    <cellStyle name="Moneda 2 3 2 5" xfId="2732" xr:uid="{3A79D319-7FD2-44B9-8224-240AC87A138B}"/>
    <cellStyle name="Moneda 2 3 2 5 2" xfId="5737" xr:uid="{4F4A8D30-7111-470B-B961-E0A72B1BCCAC}"/>
    <cellStyle name="Moneda 2 3 2 5 2 2" xfId="13298" xr:uid="{C7574D56-A1F4-46A3-B758-9C8FA735A20C}"/>
    <cellStyle name="Moneda 2 3 2 5 3" xfId="7141" xr:uid="{6EF115A0-8B70-4DDF-AF59-4F29EC304D1D}"/>
    <cellStyle name="Moneda 2 3 2 5 3 2" xfId="14670" xr:uid="{32388203-500D-46CD-A887-2FD40A85E50D}"/>
    <cellStyle name="Moneda 2 3 2 5 4" xfId="10315" xr:uid="{A2770C2A-1DFA-495E-B549-D34C4ACCF6CF}"/>
    <cellStyle name="Moneda 2 3 2 6" xfId="2857" xr:uid="{CBDD503F-4C0B-49A1-A8AC-A10BF5F67662}"/>
    <cellStyle name="Moneda 2 3 2 6 2" xfId="5861" xr:uid="{F108DC07-8AD2-4AA4-9EE3-9660BB5BCCB0}"/>
    <cellStyle name="Moneda 2 3 2 6 2 2" xfId="13422" xr:uid="{A87DB0BF-F4C7-4D1F-BF6A-570E57F6A1CD}"/>
    <cellStyle name="Moneda 2 3 2 6 3" xfId="7265" xr:uid="{36A4EE9C-4E32-45DD-BEF1-C8E590D7355D}"/>
    <cellStyle name="Moneda 2 3 2 6 3 2" xfId="14794" xr:uid="{BC57AD93-BB07-442F-90FC-36DD1F0A3C02}"/>
    <cellStyle name="Moneda 2 3 2 6 4" xfId="10439" xr:uid="{E53BA0BB-E9AF-4795-90AC-4C710B5B53B1}"/>
    <cellStyle name="Moneda 2 3 2 7" xfId="2981" xr:uid="{0CAECFEE-3941-4BC4-8AB6-5C77A4C541B5}"/>
    <cellStyle name="Moneda 2 3 2 7 2" xfId="5985" xr:uid="{6BAF6DF9-46D6-4D6F-BB05-4333074E7FAF}"/>
    <cellStyle name="Moneda 2 3 2 7 2 2" xfId="13546" xr:uid="{A9DCBE2C-27A8-4307-9F43-151638FD5322}"/>
    <cellStyle name="Moneda 2 3 2 7 3" xfId="7389" xr:uid="{DC09652E-E6C4-47EE-BC80-7CCB8AB456C9}"/>
    <cellStyle name="Moneda 2 3 2 7 3 2" xfId="14918" xr:uid="{F8DF2733-0694-4E60-A2B8-3554335CB0C7}"/>
    <cellStyle name="Moneda 2 3 2 7 4" xfId="10563" xr:uid="{A282F705-E9BE-4589-9C68-A2C3EC91FFB7}"/>
    <cellStyle name="Moneda 2 3 2 8" xfId="3105" xr:uid="{A4358D3E-8247-465D-B30D-72166ABA9877}"/>
    <cellStyle name="Moneda 2 3 2 8 2" xfId="6109" xr:uid="{93DDBDC7-7489-4908-BE2C-A635697BBC67}"/>
    <cellStyle name="Moneda 2 3 2 8 2 2" xfId="13670" xr:uid="{569D6493-9FEE-40C6-8A0D-501A8165D519}"/>
    <cellStyle name="Moneda 2 3 2 8 3" xfId="7513" xr:uid="{95F84D84-C6BA-490D-B722-63B6C8F8CBEE}"/>
    <cellStyle name="Moneda 2 3 2 8 3 2" xfId="15042" xr:uid="{8973112D-79F1-4D64-84E0-89DF1335C21A}"/>
    <cellStyle name="Moneda 2 3 2 8 4" xfId="10687" xr:uid="{BBEF134A-140E-45B9-A20E-0442E300FABA}"/>
    <cellStyle name="Moneda 2 3 2 9" xfId="3230" xr:uid="{5FF91F6E-BF4B-4D27-A153-8BCDBA45EB4F}"/>
    <cellStyle name="Moneda 2 3 2 9 2" xfId="6234" xr:uid="{546E6D58-6326-4997-9E35-B1D6D800569E}"/>
    <cellStyle name="Moneda 2 3 2 9 2 2" xfId="13795" xr:uid="{2989D1CB-C2B3-4088-9DB1-CD1976789CBC}"/>
    <cellStyle name="Moneda 2 3 2 9 3" xfId="7638" xr:uid="{94CD1513-00CE-44C8-9C1D-B5C1B44F1B71}"/>
    <cellStyle name="Moneda 2 3 2 9 3 2" xfId="15167" xr:uid="{F2C532E7-6C9A-4D56-89B3-FA305B0B3213}"/>
    <cellStyle name="Moneda 2 3 2 9 4" xfId="10812" xr:uid="{E4C5136D-ED4F-4802-A4DE-D362CBB69576}"/>
    <cellStyle name="Moneda 2 3 3" xfId="2394" xr:uid="{C6F72C6B-D3B2-4A1E-83E4-9FD982E21477}"/>
    <cellStyle name="Moneda 2 3 3 10" xfId="6525" xr:uid="{18998293-58A7-45A4-90C6-AE9F3E919FCB}"/>
    <cellStyle name="Moneda 2 3 3 10 2" xfId="7924" xr:uid="{51A8099B-9FC9-4311-A5D7-0974108E51EB}"/>
    <cellStyle name="Moneda 2 3 3 10 2 2" xfId="15453" xr:uid="{C75277F0-267D-4BCA-97B9-6AC05DF5F706}"/>
    <cellStyle name="Moneda 2 3 3 10 3" xfId="14081" xr:uid="{273E31BE-81E4-43AC-A692-F5392CA27746}"/>
    <cellStyle name="Moneda 2 3 3 11" xfId="5404" xr:uid="{1EA0B90F-2785-4715-9619-2D544F654454}"/>
    <cellStyle name="Moneda 2 3 3 11 2" xfId="12965" xr:uid="{AFB50007-7F44-48B1-BA44-BE393B5834F2}"/>
    <cellStyle name="Moneda 2 3 3 12" xfId="6808" xr:uid="{0DCF298F-00DC-402C-AD85-60113D13037E}"/>
    <cellStyle name="Moneda 2 3 3 12 2" xfId="14337" xr:uid="{D8D91E9D-316A-46AC-8D9D-9E1CB181AEEC}"/>
    <cellStyle name="Moneda 2 3 3 13" xfId="9982" xr:uid="{5E4C0DDB-DFB8-47BF-8F0D-43C21E340529}"/>
    <cellStyle name="Moneda 2 3 3 2" xfId="2518" xr:uid="{71C0CD6B-B7B0-47DD-A4BA-59E61437761C}"/>
    <cellStyle name="Moneda 2 3 3 2 2" xfId="6660" xr:uid="{61A6347E-041C-43FB-A0A7-9B35BFA3822A}"/>
    <cellStyle name="Moneda 2 3 3 2 2 2" xfId="8046" xr:uid="{445D7536-9E5C-43D4-9864-9055D8109963}"/>
    <cellStyle name="Moneda 2 3 3 2 2 2 2" xfId="15575" xr:uid="{4EBF74A5-537F-487B-803A-D4B5AD588B69}"/>
    <cellStyle name="Moneda 2 3 3 2 2 3" xfId="14203" xr:uid="{5FEF5011-B97A-4C10-915B-B9FC1A6A7C42}"/>
    <cellStyle name="Moneda 2 3 3 2 3" xfId="5524" xr:uid="{1FBF784B-8059-4A69-8357-3A3F6541BEDE}"/>
    <cellStyle name="Moneda 2 3 3 2 3 2" xfId="13085" xr:uid="{4C5177F2-9B98-4D86-BD20-635ACD848BAD}"/>
    <cellStyle name="Moneda 2 3 3 2 4" xfId="6928" xr:uid="{DAF3A6E5-1F36-40EE-8537-092A4E6DA68B}"/>
    <cellStyle name="Moneda 2 3 3 2 4 2" xfId="14457" xr:uid="{F98719F7-1D71-4EF8-9C5A-5C3086985116}"/>
    <cellStyle name="Moneda 2 3 3 2 5" xfId="10102" xr:uid="{D4F904AC-895F-4ADF-95FC-121558CE8B45}"/>
    <cellStyle name="Moneda 2 3 3 3" xfId="2639" xr:uid="{77A03ADC-FAB5-4AD6-A584-E5C7B42C10C8}"/>
    <cellStyle name="Moneda 2 3 3 3 2" xfId="5644" xr:uid="{56D41C97-8951-4A06-BCA1-F74333837F62}"/>
    <cellStyle name="Moneda 2 3 3 3 2 2" xfId="13205" xr:uid="{3FF61512-1159-4961-BF14-A7F267B6BAF3}"/>
    <cellStyle name="Moneda 2 3 3 3 3" xfId="7048" xr:uid="{23DF79E4-5BCC-41D0-85CC-92562186B03D}"/>
    <cellStyle name="Moneda 2 3 3 3 3 2" xfId="14577" xr:uid="{3653E17B-A0F1-4F9F-A1DE-25572871065B}"/>
    <cellStyle name="Moneda 2 3 3 3 4" xfId="10222" xr:uid="{8AC86187-09C5-4F94-8368-BA63BBC4C990}"/>
    <cellStyle name="Moneda 2 3 3 4" xfId="2761" xr:uid="{C4A7EACC-A828-4A0A-8116-66413B19906C}"/>
    <cellStyle name="Moneda 2 3 3 4 2" xfId="5766" xr:uid="{DA922C7B-3599-424A-B390-BB44B51C2982}"/>
    <cellStyle name="Moneda 2 3 3 4 2 2" xfId="13327" xr:uid="{1B02F548-DD51-47C4-B5C2-861C0AC97D68}"/>
    <cellStyle name="Moneda 2 3 3 4 3" xfId="7170" xr:uid="{933FAE0B-1685-4197-A39C-8679D1AD0390}"/>
    <cellStyle name="Moneda 2 3 3 4 3 2" xfId="14699" xr:uid="{5F737474-A8E0-489C-8E80-BDC9652A62E1}"/>
    <cellStyle name="Moneda 2 3 3 4 4" xfId="10344" xr:uid="{8B466F0A-41F0-473F-B49D-519D74D49E31}"/>
    <cellStyle name="Moneda 2 3 3 5" xfId="2886" xr:uid="{FA5EA9EC-D6FD-4F94-8ACE-C8B3B1F73018}"/>
    <cellStyle name="Moneda 2 3 3 5 2" xfId="5890" xr:uid="{D5C29FAA-C9BA-403F-B9B9-39839AB1BEB8}"/>
    <cellStyle name="Moneda 2 3 3 5 2 2" xfId="13451" xr:uid="{814FD207-74E8-435B-B3EF-DABEC7C6AD59}"/>
    <cellStyle name="Moneda 2 3 3 5 3" xfId="7294" xr:uid="{BC3B9B24-F263-491D-8351-8E4ABC8F3937}"/>
    <cellStyle name="Moneda 2 3 3 5 3 2" xfId="14823" xr:uid="{9489618F-A747-4D0A-86F2-EF51B84D2791}"/>
    <cellStyle name="Moneda 2 3 3 5 4" xfId="10468" xr:uid="{7EFC990C-E28A-4CE9-8E8F-4CF733C02899}"/>
    <cellStyle name="Moneda 2 3 3 6" xfId="3010" xr:uid="{F301A815-5EC1-4A29-9717-257DC9DE4974}"/>
    <cellStyle name="Moneda 2 3 3 6 2" xfId="6014" xr:uid="{232B90FC-6A01-4C05-8007-1C6164DA9639}"/>
    <cellStyle name="Moneda 2 3 3 6 2 2" xfId="13575" xr:uid="{0463A22F-8C53-465D-BCD7-5C0CF7A0C476}"/>
    <cellStyle name="Moneda 2 3 3 6 3" xfId="7418" xr:uid="{AA02022F-02F5-46DF-83FE-86AE45277EE0}"/>
    <cellStyle name="Moneda 2 3 3 6 3 2" xfId="14947" xr:uid="{F3E610E7-8FBE-4E73-9E67-86ACC9A49803}"/>
    <cellStyle name="Moneda 2 3 3 6 4" xfId="10592" xr:uid="{ECB2B068-311D-45B6-9547-5574C528E2CC}"/>
    <cellStyle name="Moneda 2 3 3 7" xfId="3134" xr:uid="{C06A848B-1A8A-4153-8CE3-3E7AD8BDF810}"/>
    <cellStyle name="Moneda 2 3 3 7 2" xfId="6138" xr:uid="{0BE76BB1-3D0C-4363-AE72-81CB1DD56813}"/>
    <cellStyle name="Moneda 2 3 3 7 2 2" xfId="13699" xr:uid="{3F34902E-5321-4074-8453-877C4315243F}"/>
    <cellStyle name="Moneda 2 3 3 7 3" xfId="7542" xr:uid="{A6B52E4A-C310-4038-94B0-79993F108DE5}"/>
    <cellStyle name="Moneda 2 3 3 7 3 2" xfId="15071" xr:uid="{CCDEAD65-D879-42B3-B6FB-00FB952A0267}"/>
    <cellStyle name="Moneda 2 3 3 7 4" xfId="10716" xr:uid="{8662A570-57C6-44CF-9619-FF5DE957C6EE}"/>
    <cellStyle name="Moneda 2 3 3 8" xfId="3259" xr:uid="{8454B928-7C3B-400C-9CB3-F6B796CC39C4}"/>
    <cellStyle name="Moneda 2 3 3 8 2" xfId="6263" xr:uid="{9ADA2E73-CDEF-456B-9D74-75034690E5BC}"/>
    <cellStyle name="Moneda 2 3 3 8 2 2" xfId="13824" xr:uid="{00B77B87-7ED7-4499-8824-7690085B8B4B}"/>
    <cellStyle name="Moneda 2 3 3 8 3" xfId="7667" xr:uid="{4E824598-9217-4DD8-A9B2-6AF8B760E289}"/>
    <cellStyle name="Moneda 2 3 3 8 3 2" xfId="15196" xr:uid="{22953410-6C3B-4ECE-93A4-B506F469D1FC}"/>
    <cellStyle name="Moneda 2 3 3 8 4" xfId="10841" xr:uid="{D24D99D0-6E22-4302-B87E-93D25357E48B}"/>
    <cellStyle name="Moneda 2 3 3 9" xfId="3387" xr:uid="{EB538CC3-79D2-4541-B9DA-C7044D268EB1}"/>
    <cellStyle name="Moneda 2 3 3 9 2" xfId="6389" xr:uid="{61306820-8F86-48B7-A8DF-35C263A9E5D9}"/>
    <cellStyle name="Moneda 2 3 3 9 2 2" xfId="13950" xr:uid="{108D6373-CBB0-460A-A636-1EE66E55C9C0}"/>
    <cellStyle name="Moneda 2 3 3 9 3" xfId="7793" xr:uid="{A7050696-8F27-4D7A-8F65-1FFDF704DE82}"/>
    <cellStyle name="Moneda 2 3 3 9 3 2" xfId="15322" xr:uid="{520913C5-D9A4-4986-98C8-2BC66BE31C82}"/>
    <cellStyle name="Moneda 2 3 3 9 4" xfId="10967" xr:uid="{4FB4E5FD-D2AB-4852-B18E-E0E132F02CF5}"/>
    <cellStyle name="Moneda 2 3 4" xfId="2459" xr:uid="{56A9072D-FEB7-438E-AA44-309A5601D8EB}"/>
    <cellStyle name="Moneda 2 3 4 2" xfId="6592" xr:uid="{6A21E8AD-FB52-4BF3-9F23-3D64CAD442AA}"/>
    <cellStyle name="Moneda 2 3 4 2 2" xfId="7988" xr:uid="{845CCE3E-2444-4FEF-8C53-EB00C8F488E7}"/>
    <cellStyle name="Moneda 2 3 4 2 2 2" xfId="15517" xr:uid="{2AE05F64-3F1E-4C89-B389-78FC5ABEB35B}"/>
    <cellStyle name="Moneda 2 3 4 2 3" xfId="14145" xr:uid="{25E63688-E91B-4EF4-8142-C4C2FAFC760B}"/>
    <cellStyle name="Moneda 2 3 4 3" xfId="5465" xr:uid="{2C7E6105-81F1-45EE-9E61-68C504568590}"/>
    <cellStyle name="Moneda 2 3 4 3 2" xfId="13026" xr:uid="{8C0C001F-7375-45D0-BFFB-7D626C2765A9}"/>
    <cellStyle name="Moneda 2 3 4 4" xfId="6869" xr:uid="{2A8A8032-F82B-4E81-BABC-4551BD599DCF}"/>
    <cellStyle name="Moneda 2 3 4 4 2" xfId="14398" xr:uid="{3EBBBF12-D9DE-4456-850C-F2F67C3F5FCB}"/>
    <cellStyle name="Moneda 2 3 4 5" xfId="10043" xr:uid="{4DBC7E6B-5835-401A-9D22-00AC9F36DFC1}"/>
    <cellStyle name="Moneda 2 3 5" xfId="2581" xr:uid="{0206F238-E9FC-457A-80D4-8C221AD3FA1B}"/>
    <cellStyle name="Moneda 2 3 5 2" xfId="5586" xr:uid="{27D51E69-C664-455A-A056-8749B9324F51}"/>
    <cellStyle name="Moneda 2 3 5 2 2" xfId="13147" xr:uid="{F7F02B5D-8920-46A5-AA4C-10BEC1CCA696}"/>
    <cellStyle name="Moneda 2 3 5 3" xfId="6990" xr:uid="{9E80B098-A793-4D87-B2B8-86B42DF5F4C8}"/>
    <cellStyle name="Moneda 2 3 5 3 2" xfId="14519" xr:uid="{B976245E-8D64-419D-B46A-E7B8062B0900}"/>
    <cellStyle name="Moneda 2 3 5 4" xfId="10164" xr:uid="{454FEFC6-6ACF-455A-B2F3-FBCD8FB2FE20}"/>
    <cellStyle name="Moneda 2 3 6" xfId="2703" xr:uid="{57DC36B4-DEDB-4AD7-8A6A-66F60C03022E}"/>
    <cellStyle name="Moneda 2 3 6 2" xfId="5708" xr:uid="{43AB1BC2-F2AF-4EA1-A896-A7013648756A}"/>
    <cellStyle name="Moneda 2 3 6 2 2" xfId="13269" xr:uid="{09DAB15F-641A-4602-9CFF-B9AE8381BAF7}"/>
    <cellStyle name="Moneda 2 3 6 3" xfId="7112" xr:uid="{C8883E21-6B37-4087-9CE2-71EDD220DCC4}"/>
    <cellStyle name="Moneda 2 3 6 3 2" xfId="14641" xr:uid="{C932981E-66C1-4D49-9168-2A943B3787D4}"/>
    <cellStyle name="Moneda 2 3 6 4" xfId="10286" xr:uid="{DE36E37E-1F49-40EB-AC20-EB0E65D30FB8}"/>
    <cellStyle name="Moneda 2 3 7" xfId="2828" xr:uid="{30CB3942-ABE1-43EE-BFE1-439C62390B43}"/>
    <cellStyle name="Moneda 2 3 7 2" xfId="5832" xr:uid="{F2F57A75-08F8-4480-9068-C5D6DDA2E279}"/>
    <cellStyle name="Moneda 2 3 7 2 2" xfId="13393" xr:uid="{6E8F67D7-297C-45D7-9AA7-D025F1B190CF}"/>
    <cellStyle name="Moneda 2 3 7 3" xfId="7236" xr:uid="{29AC0AB3-D218-4598-9D71-C54FA90BD845}"/>
    <cellStyle name="Moneda 2 3 7 3 2" xfId="14765" xr:uid="{09403686-3B37-4E0A-9F9F-F5FC975EAE98}"/>
    <cellStyle name="Moneda 2 3 7 4" xfId="10410" xr:uid="{B337E9A8-9764-4D63-9585-4DDF27A7BA3E}"/>
    <cellStyle name="Moneda 2 3 8" xfId="2952" xr:uid="{C335E306-0993-4FDA-AC4A-9FD8A6CAE016}"/>
    <cellStyle name="Moneda 2 3 8 2" xfId="5956" xr:uid="{33B80E25-6E36-4EF3-8E67-6A821B5FD41F}"/>
    <cellStyle name="Moneda 2 3 8 2 2" xfId="13517" xr:uid="{1B91C883-0383-487C-9E3C-BF2D6F3B1CD9}"/>
    <cellStyle name="Moneda 2 3 8 3" xfId="7360" xr:uid="{9A58E2B8-D929-4A81-A607-16939ACB70E7}"/>
    <cellStyle name="Moneda 2 3 8 3 2" xfId="14889" xr:uid="{42BDB965-F756-4A6F-9A2B-A5BC5A36CCA9}"/>
    <cellStyle name="Moneda 2 3 8 4" xfId="10534" xr:uid="{2A15EB2F-38F3-48D2-8E99-5BFB95317364}"/>
    <cellStyle name="Moneda 2 3 9" xfId="3076" xr:uid="{64DEFC25-3292-45D2-86F2-58A4F6A7F7F9}"/>
    <cellStyle name="Moneda 2 3 9 2" xfId="6080" xr:uid="{84DA99FE-31B4-49CD-856D-478DE06C0FD1}"/>
    <cellStyle name="Moneda 2 3 9 2 2" xfId="13641" xr:uid="{7603B450-B7A8-452A-B467-4EA2E35B7C6D}"/>
    <cellStyle name="Moneda 2 3 9 3" xfId="7484" xr:uid="{AA0BE471-5816-4BB8-8D76-A2451D45EF51}"/>
    <cellStyle name="Moneda 2 3 9 3 2" xfId="15013" xr:uid="{B0B719B9-3887-42AE-AB1D-EE90ADDAF245}"/>
    <cellStyle name="Moneda 2 3 9 4" xfId="10658" xr:uid="{B4E9A7C5-4DE6-41F2-954E-0C8841BB676E}"/>
    <cellStyle name="Moneda 2 4" xfId="1061" xr:uid="{FC388D00-38BA-41F8-A40E-F26FC39FEA77}"/>
    <cellStyle name="Moneda 2 4 10" xfId="2383" xr:uid="{AC961354-7284-4CD0-803A-4D434A644A74}"/>
    <cellStyle name="Moneda 2 4 10 2" xfId="6514" xr:uid="{84C81699-B912-4DB7-AE26-13BB8B0B1FDF}"/>
    <cellStyle name="Moneda 2 4 10 2 2" xfId="14070" xr:uid="{ECD61F60-8F5B-43E7-B892-506A7F5EC302}"/>
    <cellStyle name="Moneda 2 4 10 3" xfId="7913" xr:uid="{3E868006-396F-48A0-862A-2B6BC62F2404}"/>
    <cellStyle name="Moneda 2 4 10 3 2" xfId="15442" xr:uid="{544A01FF-7AFA-48E4-8649-1C5FECBE6C07}"/>
    <cellStyle name="Moneda 2 4 10 4" xfId="9971" xr:uid="{8CFFDB9D-C416-47CC-AB2D-A084AC086B65}"/>
    <cellStyle name="Moneda 2 4 11" xfId="4021" xr:uid="{0F119D87-3B66-44CC-9F87-C6266B7B7D79}"/>
    <cellStyle name="Moneda 2 4 11 2" xfId="11589" xr:uid="{036AF06B-15A4-44EB-AE72-3BCC384DDB63}"/>
    <cellStyle name="Moneda 2 4 12" xfId="5393" xr:uid="{3851A02C-2DE1-4690-861E-12C980228620}"/>
    <cellStyle name="Moneda 2 4 12 2" xfId="12954" xr:uid="{E2B7DF7E-A375-4719-9CDA-B73C43759C1B}"/>
    <cellStyle name="Moneda 2 4 13" xfId="6797" xr:uid="{E9DDAFC5-8B40-482D-BB73-211F7367F3FF}"/>
    <cellStyle name="Moneda 2 4 13 2" xfId="14326" xr:uid="{9E215773-4B39-4251-A24B-034FA28127B3}"/>
    <cellStyle name="Moneda 2 4 14" xfId="8669" xr:uid="{7A1FF956-1368-4F56-95DA-BFF669847D20}"/>
    <cellStyle name="Moneda 2 4 2" xfId="2507" xr:uid="{4414B8D4-F692-4C12-BF3A-25E35EDA3099}"/>
    <cellStyle name="Moneda 2 4 2 2" xfId="6649" xr:uid="{A730ED4E-2E51-4E6D-A8E8-A5BF8D58F87B}"/>
    <cellStyle name="Moneda 2 4 2 2 2" xfId="8035" xr:uid="{9528B81F-9056-436D-9504-1E5C88F9C970}"/>
    <cellStyle name="Moneda 2 4 2 2 2 2" xfId="15564" xr:uid="{153A4616-5677-49F8-BC4F-F524073E9FA5}"/>
    <cellStyle name="Moneda 2 4 2 2 3" xfId="14192" xr:uid="{D1A5D8F9-A1DF-4834-AF92-47ADBC5F4A65}"/>
    <cellStyle name="Moneda 2 4 2 3" xfId="5513" xr:uid="{38BFD178-71C3-4554-8A19-F9219DD536B2}"/>
    <cellStyle name="Moneda 2 4 2 3 2" xfId="13074" xr:uid="{5055F707-F153-4271-941E-2B5963E5E145}"/>
    <cellStyle name="Moneda 2 4 2 4" xfId="6917" xr:uid="{772E0A29-19CB-4681-A524-A4ED5E9BB9EC}"/>
    <cellStyle name="Moneda 2 4 2 4 2" xfId="14446" xr:uid="{6954A62E-4E73-472B-83BE-93698DA75279}"/>
    <cellStyle name="Moneda 2 4 2 5" xfId="10091" xr:uid="{4FCFDEDA-8576-4C06-B3D0-9A243AF7BEB4}"/>
    <cellStyle name="Moneda 2 4 3" xfId="2628" xr:uid="{9EB00E47-4434-4E26-A6CF-45C91AD3C6A2}"/>
    <cellStyle name="Moneda 2 4 3 2" xfId="5633" xr:uid="{CB82C356-D562-4652-A2CE-FBFB64BB3195}"/>
    <cellStyle name="Moneda 2 4 3 2 2" xfId="13194" xr:uid="{0CCC7C14-DADF-4F74-85E7-481AAC6C2325}"/>
    <cellStyle name="Moneda 2 4 3 3" xfId="7037" xr:uid="{498015D6-DE5E-40A6-891C-5593A80D3829}"/>
    <cellStyle name="Moneda 2 4 3 3 2" xfId="14566" xr:uid="{C55FF000-17A7-4D1E-B8EE-6BD6B360CAB7}"/>
    <cellStyle name="Moneda 2 4 3 4" xfId="10211" xr:uid="{F66F5D3C-C5F9-4276-B1AD-7E55F450A78B}"/>
    <cellStyle name="Moneda 2 4 4" xfId="2750" xr:uid="{DEDC0008-6871-492E-A318-5DBFC0C7F6BB}"/>
    <cellStyle name="Moneda 2 4 4 2" xfId="5755" xr:uid="{B7DF3072-2667-4D76-B1DD-0F829A74C17E}"/>
    <cellStyle name="Moneda 2 4 4 2 2" xfId="13316" xr:uid="{AF8D710F-96CB-41B2-8803-1B00B69D4377}"/>
    <cellStyle name="Moneda 2 4 4 3" xfId="7159" xr:uid="{B7C23399-E86D-4276-8213-C9E2E8D3C23A}"/>
    <cellStyle name="Moneda 2 4 4 3 2" xfId="14688" xr:uid="{D839134B-ABF7-4A16-89F7-0322B27C553C}"/>
    <cellStyle name="Moneda 2 4 4 4" xfId="10333" xr:uid="{80619370-E9AC-4341-97C2-099DCDB99865}"/>
    <cellStyle name="Moneda 2 4 5" xfId="2875" xr:uid="{33825B2C-A093-4321-8D6D-FDA29AA52C22}"/>
    <cellStyle name="Moneda 2 4 5 2" xfId="5879" xr:uid="{B3151695-1C05-4CA4-8740-3DF7C9B13F7A}"/>
    <cellStyle name="Moneda 2 4 5 2 2" xfId="13440" xr:uid="{264B2ECA-167E-4052-90B5-4AFC296D49A0}"/>
    <cellStyle name="Moneda 2 4 5 3" xfId="7283" xr:uid="{F23515FF-CBF9-4E83-A96C-4B38A6A27C10}"/>
    <cellStyle name="Moneda 2 4 5 3 2" xfId="14812" xr:uid="{F166F49C-E8E3-4B66-A38B-2F03BE2D6FA4}"/>
    <cellStyle name="Moneda 2 4 5 4" xfId="10457" xr:uid="{6D55BBE0-50D3-4651-BC65-B1E15A06937F}"/>
    <cellStyle name="Moneda 2 4 6" xfId="2999" xr:uid="{10888A74-FF8F-4236-93C9-54F4A91CB876}"/>
    <cellStyle name="Moneda 2 4 6 2" xfId="6003" xr:uid="{E3FE968D-2FEF-48FD-98F9-0CFADD2957AE}"/>
    <cellStyle name="Moneda 2 4 6 2 2" xfId="13564" xr:uid="{480D3567-4AF5-4293-A61E-576E66509A9D}"/>
    <cellStyle name="Moneda 2 4 6 3" xfId="7407" xr:uid="{2BEE4D9C-3D33-4EA4-8CC9-2FF6C32E1562}"/>
    <cellStyle name="Moneda 2 4 6 3 2" xfId="14936" xr:uid="{B0A489FC-B39C-4909-90DD-10213EF5061F}"/>
    <cellStyle name="Moneda 2 4 6 4" xfId="10581" xr:uid="{644AAD1C-66BA-40E6-9FE9-D9FBE06D6858}"/>
    <cellStyle name="Moneda 2 4 7" xfId="3123" xr:uid="{5BFFC6E6-EB42-4C3B-976A-5C47DF7D7AAC}"/>
    <cellStyle name="Moneda 2 4 7 2" xfId="6127" xr:uid="{A65110B8-1E34-4D1F-9CD7-0B94353DC5B1}"/>
    <cellStyle name="Moneda 2 4 7 2 2" xfId="13688" xr:uid="{F07134CE-DC99-4711-83E3-6A0A8521F344}"/>
    <cellStyle name="Moneda 2 4 7 3" xfId="7531" xr:uid="{5C342A25-86EB-4394-B5AB-5DF2BFB19C14}"/>
    <cellStyle name="Moneda 2 4 7 3 2" xfId="15060" xr:uid="{707052D8-3FB3-483B-8370-DC346A98E560}"/>
    <cellStyle name="Moneda 2 4 7 4" xfId="10705" xr:uid="{404E501B-F145-4235-96BA-9A01D7616631}"/>
    <cellStyle name="Moneda 2 4 8" xfId="3248" xr:uid="{46BAF978-F679-4488-B7E3-F64627BBE343}"/>
    <cellStyle name="Moneda 2 4 8 2" xfId="6252" xr:uid="{B6711C4E-1C94-44E5-AC78-510E69F4505E}"/>
    <cellStyle name="Moneda 2 4 8 2 2" xfId="13813" xr:uid="{2E8EBC72-92E5-4118-B0F8-99351BC340E4}"/>
    <cellStyle name="Moneda 2 4 8 3" xfId="7656" xr:uid="{FA863469-DA8B-4370-9F89-F20FBF818213}"/>
    <cellStyle name="Moneda 2 4 8 3 2" xfId="15185" xr:uid="{252523D6-748A-4496-B429-6928DF949D12}"/>
    <cellStyle name="Moneda 2 4 8 4" xfId="10830" xr:uid="{D06D3E93-CED2-4529-B46D-82AA055B8645}"/>
    <cellStyle name="Moneda 2 4 9" xfId="3376" xr:uid="{4EA08E1F-2A69-4208-AC19-B77CB7B78D3C}"/>
    <cellStyle name="Moneda 2 4 9 2" xfId="6378" xr:uid="{A1AFD0A0-B55D-40AA-A89A-2BECAFD18251}"/>
    <cellStyle name="Moneda 2 4 9 2 2" xfId="13939" xr:uid="{56817357-EB35-4C60-BF1D-7DE4203B38B0}"/>
    <cellStyle name="Moneda 2 4 9 3" xfId="7782" xr:uid="{3F9F04D2-9D2E-4D16-B7AF-90675BF2B581}"/>
    <cellStyle name="Moneda 2 4 9 3 2" xfId="15311" xr:uid="{9407B601-E4A9-4A64-AD07-68BFC956222F}"/>
    <cellStyle name="Moneda 2 4 9 4" xfId="10956" xr:uid="{94C7E784-C5AF-4C3A-A412-D5F142241007}"/>
    <cellStyle name="Moneda 2 5" xfId="1425" xr:uid="{4DC4EE9A-95A8-4A06-B6DE-1374BBD965FE}"/>
    <cellStyle name="Moneda 2 5 2" xfId="2447" xr:uid="{97C13B91-FD95-4AC5-B990-32CF1436681F}"/>
    <cellStyle name="Moneda 2 5 2 2" xfId="6454" xr:uid="{514FF958-0E5C-44E6-93E7-F68C5F6ABF3E}"/>
    <cellStyle name="Moneda 2 5 2 2 2" xfId="14012" xr:uid="{BCBB33E0-AF60-4A64-84CE-6C2FFE71BC31}"/>
    <cellStyle name="Moneda 2 5 2 3" xfId="7855" xr:uid="{71E37E23-2BD6-4E70-A76F-8B86A5CDE43A}"/>
    <cellStyle name="Moneda 2 5 2 3 2" xfId="15384" xr:uid="{0CDE80F4-1F52-40BA-B540-8D6BCAC432EA}"/>
    <cellStyle name="Moneda 2 5 2 4" xfId="10032" xr:uid="{6865818B-CE9F-4C3D-AAEE-62B7335D72FB}"/>
    <cellStyle name="Moneda 2 5 3" xfId="4385" xr:uid="{0BAB59D3-562A-4EF4-B5B5-FF4D356A5504}"/>
    <cellStyle name="Moneda 2 5 3 2" xfId="11953" xr:uid="{1F8BC927-3728-4CDA-AEEB-2B9198704CED}"/>
    <cellStyle name="Moneda 2 5 4" xfId="5454" xr:uid="{7A2D07A6-A7B2-450E-9FD3-9798F146021B}"/>
    <cellStyle name="Moneda 2 5 4 2" xfId="13015" xr:uid="{CE0E98E6-F5F7-4C14-A94C-0AB9A099DA2D}"/>
    <cellStyle name="Moneda 2 5 5" xfId="6858" xr:uid="{15BC474A-344D-4AB9-BC04-2A44BC0D15AC}"/>
    <cellStyle name="Moneda 2 5 5 2" xfId="14387" xr:uid="{BABCDF9C-D475-4FE9-9FA2-129E77B15662}"/>
    <cellStyle name="Moneda 2 5 6" xfId="9033" xr:uid="{D5379732-C8E1-49DC-88A0-03A9B2AA3705}"/>
    <cellStyle name="Moneda 2 6" xfId="1804" xr:uid="{899118DF-8D4A-4B18-9E8C-23093B53EA75}"/>
    <cellStyle name="Moneda 2 6 2" xfId="2570" xr:uid="{68301C47-2F92-45FA-9F6B-A772322924D7}"/>
    <cellStyle name="Moneda 2 6 2 2" xfId="6581" xr:uid="{797EF880-BC50-4A0B-A109-9679D8C02832}"/>
    <cellStyle name="Moneda 2 6 2 2 2" xfId="14134" xr:uid="{BA244353-62D3-403B-8D03-770FBF5CAF73}"/>
    <cellStyle name="Moneda 2 6 2 3" xfId="7977" xr:uid="{75461337-03ED-414E-B4FA-25097ACA90FE}"/>
    <cellStyle name="Moneda 2 6 2 3 2" xfId="15506" xr:uid="{0DFB0E6F-BBDF-4C91-A42E-40EB5900B736}"/>
    <cellStyle name="Moneda 2 6 2 4" xfId="10153" xr:uid="{C610EAB5-1BCD-4227-9CA0-AB256BBEF1C8}"/>
    <cellStyle name="Moneda 2 6 3" xfId="4763" xr:uid="{744B7782-F26A-4ECF-80E5-27484594E715}"/>
    <cellStyle name="Moneda 2 6 3 2" xfId="12331" xr:uid="{7932EC4B-96FB-4FE6-BD49-0F110BDA0C24}"/>
    <cellStyle name="Moneda 2 6 4" xfId="5575" xr:uid="{DAB455A1-F238-4FC8-88CE-846135038D94}"/>
    <cellStyle name="Moneda 2 6 4 2" xfId="13136" xr:uid="{D43A89D1-09AF-4384-BD39-E2E1679150F2}"/>
    <cellStyle name="Moneda 2 6 5" xfId="6979" xr:uid="{84FB9661-ABC4-405C-B073-EF177496948C}"/>
    <cellStyle name="Moneda 2 6 5 2" xfId="14508" xr:uid="{8675D548-348E-44EC-A65C-A32E261B583B}"/>
    <cellStyle name="Moneda 2 6 6" xfId="9411" xr:uid="{C51EA1A3-91D7-4313-8BB5-75F01E4AA93D}"/>
    <cellStyle name="Moneda 2 7" xfId="2692" xr:uid="{8B116CDA-EDC8-4A01-BB6E-E1AB6D8AC1DF}"/>
    <cellStyle name="Moneda 2 7 2" xfId="5697" xr:uid="{B115AB11-5897-4ADD-A9D7-0ECA15224291}"/>
    <cellStyle name="Moneda 2 7 2 2" xfId="13258" xr:uid="{F48E4362-00EA-4B63-A357-087C69E2DD8A}"/>
    <cellStyle name="Moneda 2 7 3" xfId="7101" xr:uid="{87763DD1-DF20-4F4D-B845-6A37CC5ABCBC}"/>
    <cellStyle name="Moneda 2 7 3 2" xfId="14630" xr:uid="{CF730001-1EF8-44C3-BB97-B098BFF27887}"/>
    <cellStyle name="Moneda 2 7 4" xfId="10275" xr:uid="{5729EBEB-4C1C-47B2-B1CD-A2A391C3EEF4}"/>
    <cellStyle name="Moneda 2 8" xfId="2817" xr:uid="{C7AC31A1-8038-4F19-809A-3AF7C7696A2D}"/>
    <cellStyle name="Moneda 2 8 2" xfId="5821" xr:uid="{42C123FA-488B-4E03-8592-13405E905087}"/>
    <cellStyle name="Moneda 2 8 2 2" xfId="13382" xr:uid="{671C6233-5A58-4DEA-AC37-74E7FCFDF33F}"/>
    <cellStyle name="Moneda 2 8 3" xfId="7225" xr:uid="{7B6E967B-53CF-441B-A7EC-D4D0D110A461}"/>
    <cellStyle name="Moneda 2 8 3 2" xfId="14754" xr:uid="{69707E02-D12A-4559-9EC8-E3975C6EB1D5}"/>
    <cellStyle name="Moneda 2 8 4" xfId="10399" xr:uid="{823DBCB8-3657-4F41-9180-0E430B767D9F}"/>
    <cellStyle name="Moneda 2 9" xfId="2941" xr:uid="{2D23AF40-6F56-4E5C-B277-7E820BE26A28}"/>
    <cellStyle name="Moneda 2 9 2" xfId="5945" xr:uid="{B6FDD8E8-9BED-4D3C-8A18-2364310FEF3B}"/>
    <cellStyle name="Moneda 2 9 2 2" xfId="13506" xr:uid="{21D13268-434F-4BB7-A87D-13A29404C31B}"/>
    <cellStyle name="Moneda 2 9 3" xfId="7349" xr:uid="{28970399-BA4E-47F2-9C06-F45DBAC53D68}"/>
    <cellStyle name="Moneda 2 9 3 2" xfId="14878" xr:uid="{574AE60F-FE66-4F70-80C4-81CCC90FFF8C}"/>
    <cellStyle name="Moneda 2 9 4" xfId="10523" xr:uid="{8B086600-4636-4DC5-AB37-A02E808D657E}"/>
    <cellStyle name="Moneda 20" xfId="244" xr:uid="{549BD9D9-FF11-4ADA-9B2A-6D0985B1747F}"/>
    <cellStyle name="Moneda 20 10" xfId="3211" xr:uid="{42E08A0E-656B-44A7-835E-5FC38B55E103}"/>
    <cellStyle name="Moneda 20 10 2" xfId="6215" xr:uid="{DE983BDA-935B-4869-854B-929C4D27E059}"/>
    <cellStyle name="Moneda 20 10 2 2" xfId="13776" xr:uid="{A897281C-6A09-45A5-8A72-DF905190F1A1}"/>
    <cellStyle name="Moneda 20 10 3" xfId="7619" xr:uid="{A3B80454-CB72-40AB-8A93-EE93574106ED}"/>
    <cellStyle name="Moneda 20 10 3 2" xfId="15148" xr:uid="{2A258033-367E-4D08-ADB7-75E638DF225C}"/>
    <cellStyle name="Moneda 20 10 4" xfId="10793" xr:uid="{6252E8E8-6200-48BF-9737-874B2F7CC25A}"/>
    <cellStyle name="Moneda 20 11" xfId="3339" xr:uid="{A98B2E44-CEF0-49C7-9E57-2D1158501166}"/>
    <cellStyle name="Moneda 20 11 2" xfId="6341" xr:uid="{40FF98F1-3D3B-49C7-AA9A-81F472D37C1A}"/>
    <cellStyle name="Moneda 20 11 2 2" xfId="13902" xr:uid="{50EED8CF-2133-4833-95EE-F7B0BDD7E2DC}"/>
    <cellStyle name="Moneda 20 11 3" xfId="7745" xr:uid="{239DE2AB-34EE-444C-82E9-14186205592B}"/>
    <cellStyle name="Moneda 20 11 3 2" xfId="15274" xr:uid="{D4933C62-92F3-4F52-8E2A-1C4191339C9E}"/>
    <cellStyle name="Moneda 20 11 4" xfId="10919" xr:uid="{1459D81F-25DC-421E-81FC-4B432AA8F5E1}"/>
    <cellStyle name="Moneda 20 12" xfId="2338" xr:uid="{65664BFD-7A2B-4C89-8E03-1066C7AE1662}"/>
    <cellStyle name="Moneda 20 12 2" xfId="6477" xr:uid="{B7E81B07-0B6D-422D-90F3-1C7342595319}"/>
    <cellStyle name="Moneda 20 12 2 2" xfId="14033" xr:uid="{5F2A29E6-6CBC-460E-A946-BA88F7AE63D3}"/>
    <cellStyle name="Moneda 20 12 3" xfId="7876" xr:uid="{A8168FB3-93CA-416A-BBA1-6DDB9E204CEF}"/>
    <cellStyle name="Moneda 20 12 3 2" xfId="15405" xr:uid="{1E5DAB7F-2D49-41DA-ABCD-159C45054C5D}"/>
    <cellStyle name="Moneda 20 12 4" xfId="9934" xr:uid="{33AB6754-C33F-4682-A7C8-4550E5BE3180}"/>
    <cellStyle name="Moneda 20 13" xfId="3526" xr:uid="{DC611827-61DC-452E-843E-78E4D5171317}"/>
    <cellStyle name="Moneda 20 13 2" xfId="11094" xr:uid="{7C71F691-B28A-45F8-9AC4-013E552E75F8}"/>
    <cellStyle name="Moneda 20 14" xfId="5356" xr:uid="{42F12C60-9515-418F-B430-6ADD8A2A3479}"/>
    <cellStyle name="Moneda 20 14 2" xfId="12917" xr:uid="{5FFF783E-1F0F-4945-9676-FF0B3E47A5A8}"/>
    <cellStyle name="Moneda 20 15" xfId="6760" xr:uid="{009E97A7-E9F7-43E0-9D8C-3D07A4D186D8}"/>
    <cellStyle name="Moneda 20 15 2" xfId="14289" xr:uid="{AE3A4C39-C75A-4033-8A9C-33BB69652E1A}"/>
    <cellStyle name="Moneda 20 16" xfId="8174" xr:uid="{4F660EED-8A2A-4B9C-A77E-53CEE8AC8756}"/>
    <cellStyle name="Moneda 20 2" xfId="1097" xr:uid="{A80C315B-F9D3-4D7C-B661-85477ACCD789}"/>
    <cellStyle name="Moneda 20 2 10" xfId="3369" xr:uid="{34FF411B-834B-4756-A272-8D4CAA84708F}"/>
    <cellStyle name="Moneda 20 2 10 2" xfId="6371" xr:uid="{93F2BE7F-847C-4430-B48F-122DC8F0B025}"/>
    <cellStyle name="Moneda 20 2 10 2 2" xfId="13932" xr:uid="{6A1D6A51-0F23-4AF7-8485-42D209542D80}"/>
    <cellStyle name="Moneda 20 2 10 3" xfId="7775" xr:uid="{EFBB4BC1-2DEA-4D9C-8C73-07F5D2D7B141}"/>
    <cellStyle name="Moneda 20 2 10 3 2" xfId="15304" xr:uid="{08C768D7-543C-4D90-A435-301BE3E02FE1}"/>
    <cellStyle name="Moneda 20 2 10 4" xfId="10949" xr:uid="{1970FABD-63F5-4106-B4A4-854E7B01EEFE}"/>
    <cellStyle name="Moneda 20 2 11" xfId="2374" xr:uid="{7C89037B-DEB7-419C-90D1-AD5FC336D2D9}"/>
    <cellStyle name="Moneda 20 2 11 2" xfId="6507" xr:uid="{025D7AF2-70F4-4E92-B6AA-38E6654F910A}"/>
    <cellStyle name="Moneda 20 2 11 2 2" xfId="14063" xr:uid="{1DE7D60F-BFC1-4BF3-861E-7E66453C4972}"/>
    <cellStyle name="Moneda 20 2 11 3" xfId="7906" xr:uid="{4C494AE9-1FF8-489A-BEA6-4BF79A89EA0B}"/>
    <cellStyle name="Moneda 20 2 11 3 2" xfId="15435" xr:uid="{A9EC4960-FA24-4B36-9516-EF2C7E5D2C2D}"/>
    <cellStyle name="Moneda 20 2 11 4" xfId="9964" xr:uid="{868ADE22-6919-4234-B5F0-B6DCF5D195FB}"/>
    <cellStyle name="Moneda 20 2 12" xfId="4057" xr:uid="{B864D4E5-D11B-4074-BD1A-A2AE824ABE97}"/>
    <cellStyle name="Moneda 20 2 12 2" xfId="11625" xr:uid="{01E53F0C-6B58-4F3E-9E46-C56D6D8C75CE}"/>
    <cellStyle name="Moneda 20 2 13" xfId="5386" xr:uid="{25C82D1D-3065-4E78-910D-702F556F2562}"/>
    <cellStyle name="Moneda 20 2 13 2" xfId="12947" xr:uid="{EEDE83A3-DD48-4CF4-80DB-2CAF77F86EFE}"/>
    <cellStyle name="Moneda 20 2 14" xfId="6790" xr:uid="{4CE37775-41F3-4AA2-A659-0A3AAE580A00}"/>
    <cellStyle name="Moneda 20 2 14 2" xfId="14319" xr:uid="{71353C0D-A7F6-4A1F-999B-9EAE59FDF59B}"/>
    <cellStyle name="Moneda 20 2 15" xfId="8705" xr:uid="{3A7E7B21-835A-43E0-8D62-7435DEF607EE}"/>
    <cellStyle name="Moneda 20 2 2" xfId="2434" xr:uid="{C7CC712B-4BB9-426F-9310-C13B39F6E759}"/>
    <cellStyle name="Moneda 20 2 2 10" xfId="6565" xr:uid="{6B8AEBDC-EEB6-4005-B815-112D53BB7999}"/>
    <cellStyle name="Moneda 20 2 2 10 2" xfId="7964" xr:uid="{EEF0F6BB-C7B7-4456-B546-C0344BEE73F4}"/>
    <cellStyle name="Moneda 20 2 2 10 2 2" xfId="15493" xr:uid="{34096777-7968-4617-8271-91A28C48D632}"/>
    <cellStyle name="Moneda 20 2 2 10 3" xfId="14121" xr:uid="{475AF41D-A237-4986-B619-36F3BF231B31}"/>
    <cellStyle name="Moneda 20 2 2 11" xfId="5444" xr:uid="{04FE646A-7335-444A-8AD3-A2F1F1868606}"/>
    <cellStyle name="Moneda 20 2 2 11 2" xfId="13005" xr:uid="{B9C3F7B8-EF0F-44D2-A0A2-41C46D5B1DEC}"/>
    <cellStyle name="Moneda 20 2 2 12" xfId="6848" xr:uid="{1EBFA9C7-C90C-4243-A4CD-2E39B882C3E8}"/>
    <cellStyle name="Moneda 20 2 2 12 2" xfId="14377" xr:uid="{EDFDAFCC-EE27-4C57-8EC4-92180834D180}"/>
    <cellStyle name="Moneda 20 2 2 13" xfId="10022" xr:uid="{E14C6A39-BDB0-43F5-AC71-722680F3CD22}"/>
    <cellStyle name="Moneda 20 2 2 2" xfId="2558" xr:uid="{677380F2-6193-4BD6-9CEF-2571E806ED5A}"/>
    <cellStyle name="Moneda 20 2 2 2 2" xfId="6700" xr:uid="{E60E6E2D-F2DC-437B-97AC-CEF744A9E3B6}"/>
    <cellStyle name="Moneda 20 2 2 2 2 2" xfId="8086" xr:uid="{9243A813-52F1-4F67-BC20-96834F380757}"/>
    <cellStyle name="Moneda 20 2 2 2 2 2 2" xfId="15615" xr:uid="{92CD2BD2-EA61-4F58-A0E5-328FDB6797CD}"/>
    <cellStyle name="Moneda 20 2 2 2 2 3" xfId="14243" xr:uid="{EF978C7E-F8C9-49AC-A16C-886779A02C04}"/>
    <cellStyle name="Moneda 20 2 2 2 3" xfId="5564" xr:uid="{BD2A6327-3C7A-4003-ACE7-AE71A4EA9CD5}"/>
    <cellStyle name="Moneda 20 2 2 2 3 2" xfId="13125" xr:uid="{84C9A9EF-76AA-40AA-9109-0B4071BC8C44}"/>
    <cellStyle name="Moneda 20 2 2 2 4" xfId="6968" xr:uid="{88C21AAB-EF09-4F10-A759-0561D8FC0A77}"/>
    <cellStyle name="Moneda 20 2 2 2 4 2" xfId="14497" xr:uid="{0D7646A7-04F2-41CD-A76C-21C0E1774EBF}"/>
    <cellStyle name="Moneda 20 2 2 2 5" xfId="10142" xr:uid="{3D0D709F-736C-4450-94A9-1CC243540366}"/>
    <cellStyle name="Moneda 20 2 2 3" xfId="2679" xr:uid="{75F06A40-8C0D-421E-B95F-84BCB2AFC114}"/>
    <cellStyle name="Moneda 20 2 2 3 2" xfId="5684" xr:uid="{FD6F8BFF-129B-4EBC-8B71-08D6A269F2F3}"/>
    <cellStyle name="Moneda 20 2 2 3 2 2" xfId="13245" xr:uid="{CBFC3978-4D2B-4021-A7EF-286221FAEA4E}"/>
    <cellStyle name="Moneda 20 2 2 3 3" xfId="7088" xr:uid="{587D059F-6E87-452F-944E-27A2F5C3FD34}"/>
    <cellStyle name="Moneda 20 2 2 3 3 2" xfId="14617" xr:uid="{CC42C671-80D4-4E97-8C36-AFE5C15768A3}"/>
    <cellStyle name="Moneda 20 2 2 3 4" xfId="10262" xr:uid="{0DA463D1-EF49-482C-A069-D0FF741C3355}"/>
    <cellStyle name="Moneda 20 2 2 4" xfId="2801" xr:uid="{D962A3B5-93C5-491A-82F4-08E239B7CD53}"/>
    <cellStyle name="Moneda 20 2 2 4 2" xfId="5806" xr:uid="{90045758-A4D0-465A-AF3D-51E1845FBFEA}"/>
    <cellStyle name="Moneda 20 2 2 4 2 2" xfId="13367" xr:uid="{9AC797E8-7D59-453C-B4C3-FA8CEE568CA3}"/>
    <cellStyle name="Moneda 20 2 2 4 3" xfId="7210" xr:uid="{F1617F74-F9FA-429B-8F74-CDAC08942609}"/>
    <cellStyle name="Moneda 20 2 2 4 3 2" xfId="14739" xr:uid="{A2130296-BCD0-405D-87A8-1DA0D2676D09}"/>
    <cellStyle name="Moneda 20 2 2 4 4" xfId="10384" xr:uid="{0A5F08E8-AD62-489F-A02C-6FCD90480AC9}"/>
    <cellStyle name="Moneda 20 2 2 5" xfId="2926" xr:uid="{2CAD322A-595E-4C11-B4FD-5B45AC56CC1B}"/>
    <cellStyle name="Moneda 20 2 2 5 2" xfId="5930" xr:uid="{D85CE0AC-05CF-4D27-890C-EDB5347FE6B0}"/>
    <cellStyle name="Moneda 20 2 2 5 2 2" xfId="13491" xr:uid="{FDB6073F-6CD3-4B2E-A9A3-6F3ED734A168}"/>
    <cellStyle name="Moneda 20 2 2 5 3" xfId="7334" xr:uid="{133C73F8-7F9C-4743-9739-E2AD0208D7A0}"/>
    <cellStyle name="Moneda 20 2 2 5 3 2" xfId="14863" xr:uid="{254270AE-7A82-47AB-86D3-403AE17A8696}"/>
    <cellStyle name="Moneda 20 2 2 5 4" xfId="10508" xr:uid="{9A98C86B-B1AF-46CB-910B-96BC0F0A4AD5}"/>
    <cellStyle name="Moneda 20 2 2 6" xfId="3050" xr:uid="{E387FB5D-350B-403D-A9D4-F45E2AC22411}"/>
    <cellStyle name="Moneda 20 2 2 6 2" xfId="6054" xr:uid="{5C7CAE51-F9B5-490F-BB97-086A56476332}"/>
    <cellStyle name="Moneda 20 2 2 6 2 2" xfId="13615" xr:uid="{450C8626-63C0-448D-A5B6-DFF576DE984C}"/>
    <cellStyle name="Moneda 20 2 2 6 3" xfId="7458" xr:uid="{63ECAE12-EA73-4C44-8BFD-AC727CFDBD3A}"/>
    <cellStyle name="Moneda 20 2 2 6 3 2" xfId="14987" xr:uid="{B45B2AFE-BD35-4EBE-894A-57373108E356}"/>
    <cellStyle name="Moneda 20 2 2 6 4" xfId="10632" xr:uid="{512751C3-C6C2-4A9E-BF50-30ECAED8006F}"/>
    <cellStyle name="Moneda 20 2 2 7" xfId="3174" xr:uid="{DF3CE5BC-B823-47B9-BCB0-8EDBBA181F75}"/>
    <cellStyle name="Moneda 20 2 2 7 2" xfId="6178" xr:uid="{A03D4E29-BB6B-41B4-967C-CEB1C6662476}"/>
    <cellStyle name="Moneda 20 2 2 7 2 2" xfId="13739" xr:uid="{CD8E4A20-2AF1-4AEA-99EA-000B1E247F62}"/>
    <cellStyle name="Moneda 20 2 2 7 3" xfId="7582" xr:uid="{9923C4AE-DF09-4829-8016-F83732EC1BBB}"/>
    <cellStyle name="Moneda 20 2 2 7 3 2" xfId="15111" xr:uid="{1C807776-00D9-433B-9DA8-97F987D61B4E}"/>
    <cellStyle name="Moneda 20 2 2 7 4" xfId="10756" xr:uid="{4D26A109-F278-45E2-9B88-5C2A107CBEA1}"/>
    <cellStyle name="Moneda 20 2 2 8" xfId="3299" xr:uid="{491717D3-8F8D-4E06-98FE-B09F9CFEFFEB}"/>
    <cellStyle name="Moneda 20 2 2 8 2" xfId="6303" xr:uid="{39AEB069-9BC8-4C55-866E-AC7594BEF838}"/>
    <cellStyle name="Moneda 20 2 2 8 2 2" xfId="13864" xr:uid="{6DD727CD-4E6B-4223-B119-4B999CCFD7C1}"/>
    <cellStyle name="Moneda 20 2 2 8 3" xfId="7707" xr:uid="{169BAD24-3491-44D1-8668-D573CC357877}"/>
    <cellStyle name="Moneda 20 2 2 8 3 2" xfId="15236" xr:uid="{0A07515E-F07F-4A7E-B3C5-9BBB0B985E12}"/>
    <cellStyle name="Moneda 20 2 2 8 4" xfId="10881" xr:uid="{6BF55348-1110-496B-A7FA-C5C1AC7D064F}"/>
    <cellStyle name="Moneda 20 2 2 9" xfId="3427" xr:uid="{C8CAE419-C347-4744-8FE6-EB03C2EE4172}"/>
    <cellStyle name="Moneda 20 2 2 9 2" xfId="6429" xr:uid="{EE99D907-8D11-4C2D-94EF-569F98A47023}"/>
    <cellStyle name="Moneda 20 2 2 9 2 2" xfId="13990" xr:uid="{A143B78D-8596-48C4-97D4-038569A78181}"/>
    <cellStyle name="Moneda 20 2 2 9 3" xfId="7833" xr:uid="{130FFAF7-EE50-4A6C-84D0-9DD1CC2CDABE}"/>
    <cellStyle name="Moneda 20 2 2 9 3 2" xfId="15362" xr:uid="{FF620896-AD40-489F-A398-39912F71B834}"/>
    <cellStyle name="Moneda 20 2 2 9 4" xfId="11007" xr:uid="{3229D6D8-F456-4437-97FD-EF2FF6D8F4C6}"/>
    <cellStyle name="Moneda 20 2 3" xfId="2500" xr:uid="{BFC620C1-1768-4D73-B39C-20BDD1BD22C8}"/>
    <cellStyle name="Moneda 20 2 3 2" xfId="6642" xr:uid="{296C431C-7BFB-4099-BABB-041718605F40}"/>
    <cellStyle name="Moneda 20 2 3 2 2" xfId="8028" xr:uid="{519136F3-AEC0-4E48-B20B-7305D0A815F3}"/>
    <cellStyle name="Moneda 20 2 3 2 2 2" xfId="15557" xr:uid="{FF9621BA-546F-4A19-83E6-815D0ECC9D53}"/>
    <cellStyle name="Moneda 20 2 3 2 3" xfId="14185" xr:uid="{D513B0ED-8452-4E21-ADCD-843EFC9A77B2}"/>
    <cellStyle name="Moneda 20 2 3 3" xfId="5506" xr:uid="{987148C9-3433-4206-BF32-E4327586A49E}"/>
    <cellStyle name="Moneda 20 2 3 3 2" xfId="13067" xr:uid="{DD917EA9-DE44-4E27-A6E0-08F2466F3501}"/>
    <cellStyle name="Moneda 20 2 3 4" xfId="6910" xr:uid="{C5D2018C-2830-4626-A190-1FD9CEB157B3}"/>
    <cellStyle name="Moneda 20 2 3 4 2" xfId="14439" xr:uid="{EB7558AF-EF0A-4387-93CA-E58DE2BEB612}"/>
    <cellStyle name="Moneda 20 2 3 5" xfId="10084" xr:uid="{AC6E1879-1588-474F-BD24-2330C7F7950D}"/>
    <cellStyle name="Moneda 20 2 4" xfId="2621" xr:uid="{70C5863A-F0C1-420A-8D74-EA8047FCDA7F}"/>
    <cellStyle name="Moneda 20 2 4 2" xfId="5626" xr:uid="{7C6D261D-0988-4B2B-AFC0-4E555AB225AE}"/>
    <cellStyle name="Moneda 20 2 4 2 2" xfId="13187" xr:uid="{8FDC9EBF-3F6F-4CA9-8739-A05F60AC9D05}"/>
    <cellStyle name="Moneda 20 2 4 3" xfId="7030" xr:uid="{59F7F43F-5AA3-409C-9AB4-A172E5C1B2A0}"/>
    <cellStyle name="Moneda 20 2 4 3 2" xfId="14559" xr:uid="{81A858A5-9A2B-43C2-925E-83B321B864F1}"/>
    <cellStyle name="Moneda 20 2 4 4" xfId="10204" xr:uid="{7DE2F0EB-BA8A-4723-9984-B52CB43BF309}"/>
    <cellStyle name="Moneda 20 2 5" xfId="2743" xr:uid="{371C3335-F96B-4DE1-8003-CF1BADDEADF8}"/>
    <cellStyle name="Moneda 20 2 5 2" xfId="5748" xr:uid="{87EFD369-CE38-40F3-B8C6-90784A9BBEFB}"/>
    <cellStyle name="Moneda 20 2 5 2 2" xfId="13309" xr:uid="{3B326E93-F81F-48A5-A71E-AA7FE2E9D495}"/>
    <cellStyle name="Moneda 20 2 5 3" xfId="7152" xr:uid="{47F58088-150D-4A6F-92F1-1D57708B5D79}"/>
    <cellStyle name="Moneda 20 2 5 3 2" xfId="14681" xr:uid="{5929A96B-B7AA-4CDA-95DD-2E41F40DDFE5}"/>
    <cellStyle name="Moneda 20 2 5 4" xfId="10326" xr:uid="{518AC9CA-A6E9-43E4-9D2C-DA968774324A}"/>
    <cellStyle name="Moneda 20 2 6" xfId="2868" xr:uid="{7DBEBB71-BE1C-464B-99CA-D549FD302A09}"/>
    <cellStyle name="Moneda 20 2 6 2" xfId="5872" xr:uid="{21943B46-F936-488D-94B7-5023CF467A23}"/>
    <cellStyle name="Moneda 20 2 6 2 2" xfId="13433" xr:uid="{390F6DAC-C103-4E80-9763-A0E078B68585}"/>
    <cellStyle name="Moneda 20 2 6 3" xfId="7276" xr:uid="{D95A3D0D-645B-4F93-ABB0-439CC6A7D625}"/>
    <cellStyle name="Moneda 20 2 6 3 2" xfId="14805" xr:uid="{F393807C-033E-43FE-8EDE-1DCBFB346A11}"/>
    <cellStyle name="Moneda 20 2 6 4" xfId="10450" xr:uid="{74162BB5-5CD2-4805-AC52-396FC8639622}"/>
    <cellStyle name="Moneda 20 2 7" xfId="2992" xr:uid="{D525CEA7-F47B-486C-B968-109002F78C94}"/>
    <cellStyle name="Moneda 20 2 7 2" xfId="5996" xr:uid="{86A24B5F-7B24-42D9-863B-871EFCDCD9B4}"/>
    <cellStyle name="Moneda 20 2 7 2 2" xfId="13557" xr:uid="{27A899A2-6149-4768-91AC-FFB3A602C553}"/>
    <cellStyle name="Moneda 20 2 7 3" xfId="7400" xr:uid="{B37C576D-3659-4ED9-B18C-86395E0431D8}"/>
    <cellStyle name="Moneda 20 2 7 3 2" xfId="14929" xr:uid="{A6AFABF6-5E02-424F-A27C-BE978127AD7A}"/>
    <cellStyle name="Moneda 20 2 7 4" xfId="10574" xr:uid="{77602090-8EE5-447B-BDD5-60696FBDD993}"/>
    <cellStyle name="Moneda 20 2 8" xfId="3116" xr:uid="{430EB573-8E56-4C27-90C7-3DD9DF0260A7}"/>
    <cellStyle name="Moneda 20 2 8 2" xfId="6120" xr:uid="{F44272F4-2D1D-44E3-83F3-992DF1B23E05}"/>
    <cellStyle name="Moneda 20 2 8 2 2" xfId="13681" xr:uid="{A090CB7E-7C38-4C1B-9103-32D8BA5F0D0F}"/>
    <cellStyle name="Moneda 20 2 8 3" xfId="7524" xr:uid="{82A43389-4339-4143-91B4-11B57C51FAB1}"/>
    <cellStyle name="Moneda 20 2 8 3 2" xfId="15053" xr:uid="{8D68B04F-52CB-4C58-902E-C9385607EB83}"/>
    <cellStyle name="Moneda 20 2 8 4" xfId="10698" xr:uid="{37232F72-AEA0-49CF-990F-57581125AA5D}"/>
    <cellStyle name="Moneda 20 2 9" xfId="3241" xr:uid="{4ED64CD8-91E6-4082-8340-D5425C009B57}"/>
    <cellStyle name="Moneda 20 2 9 2" xfId="6245" xr:uid="{56A56436-01FF-4FE2-866E-BF9AE301F405}"/>
    <cellStyle name="Moneda 20 2 9 2 2" xfId="13806" xr:uid="{6A9E19E3-03D0-4BCA-880A-DF4BE59DC147}"/>
    <cellStyle name="Moneda 20 2 9 3" xfId="7649" xr:uid="{7C3A0A1A-10D8-439C-B860-92DCCC8273D6}"/>
    <cellStyle name="Moneda 20 2 9 3 2" xfId="15178" xr:uid="{1FF6FBF1-728F-4D5D-8999-87CE5B07E2B7}"/>
    <cellStyle name="Moneda 20 2 9 4" xfId="10823" xr:uid="{CC5F6973-A0F4-4675-8450-7EE69DBB46FC}"/>
    <cellStyle name="Moneda 20 3" xfId="1461" xr:uid="{2BDBB093-6DEA-4508-9E5D-B78BFD1E99EB}"/>
    <cellStyle name="Moneda 20 3 10" xfId="2404" xr:uid="{B78B4939-D309-4E05-B9FB-315224F28693}"/>
    <cellStyle name="Moneda 20 3 10 2" xfId="6535" xr:uid="{B22C8113-DDBA-4C50-84F0-D705EFF4F2FF}"/>
    <cellStyle name="Moneda 20 3 10 2 2" xfId="14091" xr:uid="{186E9D51-FAFB-4417-8E62-13F9264A6EF0}"/>
    <cellStyle name="Moneda 20 3 10 3" xfId="7934" xr:uid="{4475D4D8-4987-485E-B2EA-AA5159ECB1CE}"/>
    <cellStyle name="Moneda 20 3 10 3 2" xfId="15463" xr:uid="{F6E99F98-F99E-484F-AC5F-BAA8AF2D59EF}"/>
    <cellStyle name="Moneda 20 3 10 4" xfId="9992" xr:uid="{EC2CBF77-3183-48AB-B831-7D0EEF32E6E1}"/>
    <cellStyle name="Moneda 20 3 11" xfId="4421" xr:uid="{B7180D51-DA7B-4B7D-BC08-77AE9B9EEED0}"/>
    <cellStyle name="Moneda 20 3 11 2" xfId="11989" xr:uid="{6CD39C42-8305-4B4E-9FCA-FD343F26913A}"/>
    <cellStyle name="Moneda 20 3 12" xfId="5414" xr:uid="{FA618BF7-84AA-4E29-84F0-0961CEBB1FF2}"/>
    <cellStyle name="Moneda 20 3 12 2" xfId="12975" xr:uid="{6EED297F-5F81-48AB-BA0A-4D115CE7A004}"/>
    <cellStyle name="Moneda 20 3 13" xfId="6818" xr:uid="{3F0B6B3A-8C3D-4D60-929D-E69823759F49}"/>
    <cellStyle name="Moneda 20 3 13 2" xfId="14347" xr:uid="{B8CD316A-DAD8-4EB6-BA74-A5A2BB82944C}"/>
    <cellStyle name="Moneda 20 3 14" xfId="9069" xr:uid="{07A74439-7F92-44F1-B1DD-A7BE18166415}"/>
    <cellStyle name="Moneda 20 3 2" xfId="2528" xr:uid="{C295CA3A-E422-48E8-A62C-9CFBE7B6CE20}"/>
    <cellStyle name="Moneda 20 3 2 2" xfId="6670" xr:uid="{0E269AD3-2DD4-4124-8B1F-7844595AC6C8}"/>
    <cellStyle name="Moneda 20 3 2 2 2" xfId="8056" xr:uid="{1D0C116A-3ABB-4DB4-A671-9314F78538DB}"/>
    <cellStyle name="Moneda 20 3 2 2 2 2" xfId="15585" xr:uid="{862C5918-B141-4C47-A6F1-26F17E6E42B1}"/>
    <cellStyle name="Moneda 20 3 2 2 3" xfId="14213" xr:uid="{5EBD4A8E-2EB4-4CAF-B7B6-23FEA9E12F02}"/>
    <cellStyle name="Moneda 20 3 2 3" xfId="5534" xr:uid="{1577C3E0-AC38-4682-A0AE-5B190FD7286B}"/>
    <cellStyle name="Moneda 20 3 2 3 2" xfId="13095" xr:uid="{E6B9B107-1374-463C-A454-5CB62DC332CC}"/>
    <cellStyle name="Moneda 20 3 2 4" xfId="6938" xr:uid="{CAD4035A-0E9C-4CAC-AA51-15B521E3BE0E}"/>
    <cellStyle name="Moneda 20 3 2 4 2" xfId="14467" xr:uid="{448EB84F-718F-47FA-8F70-770CAC9C7506}"/>
    <cellStyle name="Moneda 20 3 2 5" xfId="10112" xr:uid="{0ACC7627-A01A-4144-806A-C0B1105ABAFD}"/>
    <cellStyle name="Moneda 20 3 3" xfId="2649" xr:uid="{36314241-DF15-4389-A28C-F97ADC736D46}"/>
    <cellStyle name="Moneda 20 3 3 2" xfId="5654" xr:uid="{45011EA4-4C1F-43ED-A7DE-E595C44DD54D}"/>
    <cellStyle name="Moneda 20 3 3 2 2" xfId="13215" xr:uid="{84136FE4-EE7A-46CE-80DD-502AFD877B99}"/>
    <cellStyle name="Moneda 20 3 3 3" xfId="7058" xr:uid="{8EC53E11-1887-41FD-AFF7-2DDCD1099CBB}"/>
    <cellStyle name="Moneda 20 3 3 3 2" xfId="14587" xr:uid="{9CDFDED6-B72D-444D-8C8B-438BF303BA50}"/>
    <cellStyle name="Moneda 20 3 3 4" xfId="10232" xr:uid="{596C756F-77D4-4DAB-ABD7-2D393C5685A6}"/>
    <cellStyle name="Moneda 20 3 4" xfId="2771" xr:uid="{BD0406C6-1D3C-4BA9-87DA-D5616C69ACF4}"/>
    <cellStyle name="Moneda 20 3 4 2" xfId="5776" xr:uid="{FBBE2D7D-7E5F-402C-A202-ACF1A7E2A9A9}"/>
    <cellStyle name="Moneda 20 3 4 2 2" xfId="13337" xr:uid="{7C0F5456-5DA3-4BD9-9A59-BC96DBDBFDDF}"/>
    <cellStyle name="Moneda 20 3 4 3" xfId="7180" xr:uid="{8AC07378-EE5C-40FD-8D21-DE0C66A37598}"/>
    <cellStyle name="Moneda 20 3 4 3 2" xfId="14709" xr:uid="{87506D06-C1DA-4975-ACF6-54C28B93E8AE}"/>
    <cellStyle name="Moneda 20 3 4 4" xfId="10354" xr:uid="{A8A28778-713A-455D-8671-97EE2B6F20A0}"/>
    <cellStyle name="Moneda 20 3 5" xfId="2896" xr:uid="{8748D098-6EBB-451D-BFA8-1782FF3D76E6}"/>
    <cellStyle name="Moneda 20 3 5 2" xfId="5900" xr:uid="{E0366AAD-7A85-41B1-99C1-AD9806A34C5D}"/>
    <cellStyle name="Moneda 20 3 5 2 2" xfId="13461" xr:uid="{154EA1A7-005F-48E3-AD64-1EAE742B52F7}"/>
    <cellStyle name="Moneda 20 3 5 3" xfId="7304" xr:uid="{C21BEE3C-6691-4D84-919E-E909FB538DCD}"/>
    <cellStyle name="Moneda 20 3 5 3 2" xfId="14833" xr:uid="{96CBA26A-8E6F-4866-B5EE-8788162EC3EF}"/>
    <cellStyle name="Moneda 20 3 5 4" xfId="10478" xr:uid="{417DA8C7-B574-4884-8425-B3FC12799E2A}"/>
    <cellStyle name="Moneda 20 3 6" xfId="3020" xr:uid="{658F9602-4052-4F35-AEF6-13D5BF7AEA3C}"/>
    <cellStyle name="Moneda 20 3 6 2" xfId="6024" xr:uid="{556B35F8-32B5-4819-8719-0F110562D962}"/>
    <cellStyle name="Moneda 20 3 6 2 2" xfId="13585" xr:uid="{472F7AD9-CC8F-43A2-A3F6-BE953A8C2AA7}"/>
    <cellStyle name="Moneda 20 3 6 3" xfId="7428" xr:uid="{6CE3117A-7753-4E17-9370-0FF50349D391}"/>
    <cellStyle name="Moneda 20 3 6 3 2" xfId="14957" xr:uid="{7D29AD1C-1F5D-4044-B009-ACF45F7159C2}"/>
    <cellStyle name="Moneda 20 3 6 4" xfId="10602" xr:uid="{EE4E85B4-BF63-44A4-B326-FD811A3AF234}"/>
    <cellStyle name="Moneda 20 3 7" xfId="3144" xr:uid="{79CDC172-9C36-45A5-9DEB-A6D6E76283D4}"/>
    <cellStyle name="Moneda 20 3 7 2" xfId="6148" xr:uid="{0C2D280D-7EE3-4A7F-85E6-174C82849317}"/>
    <cellStyle name="Moneda 20 3 7 2 2" xfId="13709" xr:uid="{907426D2-B546-4DD8-B825-EC1D23014F7E}"/>
    <cellStyle name="Moneda 20 3 7 3" xfId="7552" xr:uid="{9FD794B6-2EA2-4077-99AD-4B361C824F18}"/>
    <cellStyle name="Moneda 20 3 7 3 2" xfId="15081" xr:uid="{AEBADAE2-23E1-43DD-A6AC-300AD7FE07EA}"/>
    <cellStyle name="Moneda 20 3 7 4" xfId="10726" xr:uid="{F4E3BF9D-A691-45F5-A718-5B3412CC50E8}"/>
    <cellStyle name="Moneda 20 3 8" xfId="3269" xr:uid="{C404AAA0-D635-4C90-8A87-02B8F14F6D5A}"/>
    <cellStyle name="Moneda 20 3 8 2" xfId="6273" xr:uid="{6BA2514F-126A-49A1-92F9-453934BB1303}"/>
    <cellStyle name="Moneda 20 3 8 2 2" xfId="13834" xr:uid="{2580BD4D-ED4B-4261-A2D8-B0DBB30CE6EA}"/>
    <cellStyle name="Moneda 20 3 8 3" xfId="7677" xr:uid="{CAEED9F7-AE87-4573-8C89-CD44D0A5C4FF}"/>
    <cellStyle name="Moneda 20 3 8 3 2" xfId="15206" xr:uid="{BE7E6E08-6EAA-4C55-8EE2-721843CBE762}"/>
    <cellStyle name="Moneda 20 3 8 4" xfId="10851" xr:uid="{49B04676-E09A-4C18-9982-51FC3B65FE59}"/>
    <cellStyle name="Moneda 20 3 9" xfId="3397" xr:uid="{61108EB8-621B-4E21-81B0-D3995F66815D}"/>
    <cellStyle name="Moneda 20 3 9 2" xfId="6399" xr:uid="{EDFFB30F-F451-41BA-8711-CDBBDF29D431}"/>
    <cellStyle name="Moneda 20 3 9 2 2" xfId="13960" xr:uid="{4F699F12-7828-48AB-9629-95B02863ED28}"/>
    <cellStyle name="Moneda 20 3 9 3" xfId="7803" xr:uid="{6C95BCDE-C072-448F-947F-35F6B3C8E0DD}"/>
    <cellStyle name="Moneda 20 3 9 3 2" xfId="15332" xr:uid="{0542EF45-1ECB-4E2E-8068-E3F4190B7770}"/>
    <cellStyle name="Moneda 20 3 9 4" xfId="10977" xr:uid="{149C403E-1E96-4B25-86CE-28095DCFA265}"/>
    <cellStyle name="Moneda 20 4" xfId="1840" xr:uid="{59DDA076-42B7-4188-889F-836AC68CC7A8}"/>
    <cellStyle name="Moneda 20 4 2" xfId="2469" xr:uid="{59E223AF-0E5A-4BB1-A3F6-AFA7457D94C3}"/>
    <cellStyle name="Moneda 20 4 2 2" xfId="6612" xr:uid="{E4DB5E8B-4AFD-4ADB-A0F2-4C4FD48CE1B3}"/>
    <cellStyle name="Moneda 20 4 2 2 2" xfId="14155" xr:uid="{C1AC7742-E656-448C-85B0-26F434460583}"/>
    <cellStyle name="Moneda 20 4 2 3" xfId="7998" xr:uid="{26B362FC-C1F9-4D0C-8907-D5C59DB7E64A}"/>
    <cellStyle name="Moneda 20 4 2 3 2" xfId="15527" xr:uid="{77E5382B-F999-4075-B755-DB787CA335BA}"/>
    <cellStyle name="Moneda 20 4 2 4" xfId="10053" xr:uid="{C9B8F097-5753-4AE0-ADE2-29EC4AD873C9}"/>
    <cellStyle name="Moneda 20 4 3" xfId="4799" xr:uid="{4AB23DFF-9951-473A-A141-2575941257BA}"/>
    <cellStyle name="Moneda 20 4 3 2" xfId="12367" xr:uid="{EACBBBE5-DADA-46F7-BCCD-3669972C65D9}"/>
    <cellStyle name="Moneda 20 4 4" xfId="5475" xr:uid="{3AF6C26B-6EFC-4750-A2ED-F8579B8CEFC8}"/>
    <cellStyle name="Moneda 20 4 4 2" xfId="13036" xr:uid="{B71EB443-6E27-4391-B2EE-60642873AA28}"/>
    <cellStyle name="Moneda 20 4 5" xfId="6879" xr:uid="{43025F98-A2F6-437F-8BEF-12815E58134B}"/>
    <cellStyle name="Moneda 20 4 5 2" xfId="14408" xr:uid="{766D8238-EE7A-46DA-B042-77EB383C2C2E}"/>
    <cellStyle name="Moneda 20 4 6" xfId="9447" xr:uid="{64F8CBE0-1001-417F-B38A-E5D81557E9DA}"/>
    <cellStyle name="Moneda 20 5" xfId="2591" xr:uid="{A87205B0-DA35-461D-8E7C-CD7315273084}"/>
    <cellStyle name="Moneda 20 5 2" xfId="5596" xr:uid="{3D3C7078-0DFC-4D85-8701-9D5731F15453}"/>
    <cellStyle name="Moneda 20 5 2 2" xfId="13157" xr:uid="{A75B16AB-58B2-4503-8DCC-DDA582D8212C}"/>
    <cellStyle name="Moneda 20 5 3" xfId="7000" xr:uid="{C504906A-0ED9-409C-B045-A2623A0C234C}"/>
    <cellStyle name="Moneda 20 5 3 2" xfId="14529" xr:uid="{3AAC4E7C-B750-41A9-B4FA-0DB17FD46F3B}"/>
    <cellStyle name="Moneda 20 5 4" xfId="10174" xr:uid="{D54770C7-5591-417D-9B2E-1FC9048959C7}"/>
    <cellStyle name="Moneda 20 6" xfId="2713" xr:uid="{F6D50E97-D617-4006-93D1-0D27187B47B9}"/>
    <cellStyle name="Moneda 20 6 2" xfId="5718" xr:uid="{E7AEE123-E438-4135-9630-533F92C94CBE}"/>
    <cellStyle name="Moneda 20 6 2 2" xfId="13279" xr:uid="{2A2FCB35-B910-4A60-9854-D955963726FF}"/>
    <cellStyle name="Moneda 20 6 3" xfId="7122" xr:uid="{8CC27962-1811-475A-A5E1-2428651FF8FF}"/>
    <cellStyle name="Moneda 20 6 3 2" xfId="14651" xr:uid="{8A0823E1-A216-4607-9888-530616882B7D}"/>
    <cellStyle name="Moneda 20 6 4" xfId="10296" xr:uid="{295D7903-A019-4E00-AE45-835D3928ECFA}"/>
    <cellStyle name="Moneda 20 7" xfId="2838" xr:uid="{8F6C635A-99A1-4023-B8E7-B706344496D3}"/>
    <cellStyle name="Moneda 20 7 2" xfId="5842" xr:uid="{A497CAAA-95AB-4BF6-B22E-EFAABDD0E2ED}"/>
    <cellStyle name="Moneda 20 7 2 2" xfId="13403" xr:uid="{E35C134A-F5F4-4C1A-A9DB-4FB263765CDC}"/>
    <cellStyle name="Moneda 20 7 3" xfId="7246" xr:uid="{A0C2BB38-EEF7-480F-9BDE-F09B5010DBAD}"/>
    <cellStyle name="Moneda 20 7 3 2" xfId="14775" xr:uid="{66F366F0-46C5-48B7-9E4F-3FAE7A10AB1B}"/>
    <cellStyle name="Moneda 20 7 4" xfId="10420" xr:uid="{5F863226-D6D2-4769-BA31-56946B4C7F7F}"/>
    <cellStyle name="Moneda 20 8" xfId="2962" xr:uid="{30B1FF77-8CA7-47BE-9D2F-55D31482F1B3}"/>
    <cellStyle name="Moneda 20 8 2" xfId="5966" xr:uid="{441FD5FD-CCA7-448F-B366-993BFE79640E}"/>
    <cellStyle name="Moneda 20 8 2 2" xfId="13527" xr:uid="{9CE6FB2B-4E4A-4824-8C58-72A8FD10230A}"/>
    <cellStyle name="Moneda 20 8 3" xfId="7370" xr:uid="{94558159-443B-4230-A65F-5745B12A8BFF}"/>
    <cellStyle name="Moneda 20 8 3 2" xfId="14899" xr:uid="{899B0891-A385-4E65-9161-FE2BDAD456C6}"/>
    <cellStyle name="Moneda 20 8 4" xfId="10544" xr:uid="{197B4C03-8C82-46C7-8C8B-715BBFE9ED66}"/>
    <cellStyle name="Moneda 20 9" xfId="3086" xr:uid="{5FBD1125-7483-44C7-881E-E5D9742769E5}"/>
    <cellStyle name="Moneda 20 9 2" xfId="6090" xr:uid="{9D4CE80F-51C1-40F8-866F-0ECC7463F5C0}"/>
    <cellStyle name="Moneda 20 9 2 2" xfId="13651" xr:uid="{2D1D5277-0088-490F-8416-2DE8A7DF252E}"/>
    <cellStyle name="Moneda 20 9 3" xfId="7494" xr:uid="{464CC4A9-D2EE-4046-B95B-E3DA12466832}"/>
    <cellStyle name="Moneda 20 9 3 2" xfId="15023" xr:uid="{12A2784E-A933-4455-9E29-B7B2998AC4AD}"/>
    <cellStyle name="Moneda 20 9 4" xfId="10668" xr:uid="{D21747EB-108D-4A6A-8A2E-FC879F58BA14}"/>
    <cellStyle name="Moneda 200" xfId="785" xr:uid="{6CD7BFF1-44B7-4886-AD20-394562F27AC6}"/>
    <cellStyle name="Moneda 200 2" xfId="2200" xr:uid="{2A87AA73-50FF-463C-8EE1-AF02B8A88F82}"/>
    <cellStyle name="Moneda 200 2 2" xfId="5159" xr:uid="{A8EE3EB0-2CEE-488A-BDD6-7FE90584C683}"/>
    <cellStyle name="Moneda 200 2 2 2" xfId="12727" xr:uid="{CD072CD3-39CD-491B-830F-DFBA319C8107}"/>
    <cellStyle name="Moneda 200 2 3" xfId="9807" xr:uid="{93E08201-71E9-4226-86A4-E11D60F84C7E}"/>
    <cellStyle name="Moneda 200 3" xfId="3886" xr:uid="{1282856F-5886-49B9-BDB3-DB49E3909E35}"/>
    <cellStyle name="Moneda 200 3 2" xfId="11454" xr:uid="{29D9D926-BF6F-4691-A476-10ADA9137DCE}"/>
    <cellStyle name="Moneda 200 4" xfId="8534" xr:uid="{7C88A847-B8F4-4825-B091-9B934707F825}"/>
    <cellStyle name="Moneda 201" xfId="788" xr:uid="{BC22DD9A-EC28-4E65-9E4E-205961470243}"/>
    <cellStyle name="Moneda 201 2" xfId="2202" xr:uid="{D9D459F7-4C3C-4A2D-9131-EC563A7F5452}"/>
    <cellStyle name="Moneda 201 2 2" xfId="5161" xr:uid="{ED16598C-5D3C-4703-9EBB-DA54ABE0E506}"/>
    <cellStyle name="Moneda 201 2 2 2" xfId="12729" xr:uid="{EDA99544-8567-4FEE-A7DA-91BFFA05979D}"/>
    <cellStyle name="Moneda 201 2 3" xfId="9809" xr:uid="{AF3284FC-1E88-4D5B-8FD6-D74A26BD8D91}"/>
    <cellStyle name="Moneda 201 3" xfId="3888" xr:uid="{5BB1FC03-C5F9-465E-A2F1-06D118E36CD7}"/>
    <cellStyle name="Moneda 201 3 2" xfId="11456" xr:uid="{C7CE7BA4-9857-4FDC-9E42-1A7A33D30643}"/>
    <cellStyle name="Moneda 201 4" xfId="8536" xr:uid="{00911B49-6B74-465D-BF94-A62D6E1553B5}"/>
    <cellStyle name="Moneda 202" xfId="791" xr:uid="{D79B898D-6936-4F11-AF86-2EE055ADED93}"/>
    <cellStyle name="Moneda 202 2" xfId="2204" xr:uid="{E0C0BB70-1E2A-4871-B03F-D345CFFA48B3}"/>
    <cellStyle name="Moneda 202 2 2" xfId="5163" xr:uid="{579FD0C6-815F-4BE1-B7CA-F8E46D4E321A}"/>
    <cellStyle name="Moneda 202 2 2 2" xfId="12731" xr:uid="{507F0E81-27D6-46DB-86C2-F70C410B1206}"/>
    <cellStyle name="Moneda 202 2 3" xfId="9811" xr:uid="{0F2A6FB1-6EE4-4730-B72D-FB46BD7BF756}"/>
    <cellStyle name="Moneda 202 3" xfId="3890" xr:uid="{C4328EB8-4F6B-4C3D-B117-F3F3D2B62729}"/>
    <cellStyle name="Moneda 202 3 2" xfId="11458" xr:uid="{477FAB96-7615-45C7-8EFB-ED845BA8D91D}"/>
    <cellStyle name="Moneda 202 4" xfId="8538" xr:uid="{87F55D9D-A384-4341-A31D-7A9EA25B9AFE}"/>
    <cellStyle name="Moneda 203" xfId="794" xr:uid="{FC91D3B0-520A-41C0-BE95-9A8DD83D2B63}"/>
    <cellStyle name="Moneda 203 2" xfId="2206" xr:uid="{AEE08431-4B60-4516-B34E-8CA5D56DE5DD}"/>
    <cellStyle name="Moneda 203 2 2" xfId="5165" xr:uid="{8151B127-0DC5-446B-96D0-8EA12B173FDF}"/>
    <cellStyle name="Moneda 203 2 2 2" xfId="12733" xr:uid="{5B6A8533-451F-42DA-9C42-D9B3F530D6B0}"/>
    <cellStyle name="Moneda 203 2 3" xfId="9813" xr:uid="{6AA6449B-37B6-4865-ABE9-DEA0CCF3E818}"/>
    <cellStyle name="Moneda 203 3" xfId="3892" xr:uid="{F9184C2A-76C1-4823-98A5-8FB1B0EEF940}"/>
    <cellStyle name="Moneda 203 3 2" xfId="11460" xr:uid="{E24EC0E0-4B21-41EC-806F-5F0873F8E298}"/>
    <cellStyle name="Moneda 203 4" xfId="8540" xr:uid="{3FA932D5-270A-48E5-B20F-A21E9B5DD513}"/>
    <cellStyle name="Moneda 204" xfId="797" xr:uid="{33A080CC-625F-455C-81EA-744DA025269F}"/>
    <cellStyle name="Moneda 204 2" xfId="2208" xr:uid="{C64C4B90-6C2C-4677-A309-E0C5B67201EC}"/>
    <cellStyle name="Moneda 204 2 2" xfId="5167" xr:uid="{FB82EA76-874D-44D2-B069-753388BAEF0A}"/>
    <cellStyle name="Moneda 204 2 2 2" xfId="12735" xr:uid="{673E3D2B-495E-4360-BFE9-04840979B13C}"/>
    <cellStyle name="Moneda 204 2 3" xfId="9815" xr:uid="{B25B93E6-8155-44A4-81F0-C5FE0164DA37}"/>
    <cellStyle name="Moneda 204 3" xfId="3894" xr:uid="{213259F1-0125-4A4A-AB0C-E638B7C4798D}"/>
    <cellStyle name="Moneda 204 3 2" xfId="11462" xr:uid="{00076FB5-0DDD-4C8E-A954-1BCDF9436DF8}"/>
    <cellStyle name="Moneda 204 4" xfId="8542" xr:uid="{7BB2533D-4086-410A-9389-525F5AB75182}"/>
    <cellStyle name="Moneda 205" xfId="800" xr:uid="{468DE467-D238-4739-86F5-450B4DDC1961}"/>
    <cellStyle name="Moneda 205 2" xfId="2210" xr:uid="{6CDBEBAF-8ECF-4728-B8DD-7664690C3ECB}"/>
    <cellStyle name="Moneda 205 2 2" xfId="5169" xr:uid="{F54EC5D5-52F1-499B-89EE-BA06AF9D3DC0}"/>
    <cellStyle name="Moneda 205 2 2 2" xfId="12737" xr:uid="{2A6DED8E-3840-46A5-91D1-38AF51A4D1AE}"/>
    <cellStyle name="Moneda 205 2 3" xfId="9817" xr:uid="{CF5E52F9-70A9-45B8-BED7-F727372E13B6}"/>
    <cellStyle name="Moneda 205 3" xfId="3896" xr:uid="{42D504B1-FC58-43D7-9BE9-F47F63061BB5}"/>
    <cellStyle name="Moneda 205 3 2" xfId="11464" xr:uid="{03854DF1-9347-43B8-AFE0-3623EB5564D1}"/>
    <cellStyle name="Moneda 205 4" xfId="8544" xr:uid="{22009C14-5E24-4C32-99B5-2D205FA9B7A8}"/>
    <cellStyle name="Moneda 206" xfId="803" xr:uid="{D364133E-F01A-4D6E-8D70-40DBD4A0D3AF}"/>
    <cellStyle name="Moneda 206 2" xfId="2212" xr:uid="{46B95BF6-77F7-4851-8B63-A67795D347B6}"/>
    <cellStyle name="Moneda 206 2 2" xfId="5171" xr:uid="{7959E738-FEFF-4061-A9BD-CCBAACD255B6}"/>
    <cellStyle name="Moneda 206 2 2 2" xfId="12739" xr:uid="{16743485-5347-4A91-BE71-32306AC9B531}"/>
    <cellStyle name="Moneda 206 2 3" xfId="9819" xr:uid="{193E3FBA-BC52-4594-9FCE-A991208FE5AE}"/>
    <cellStyle name="Moneda 206 3" xfId="3898" xr:uid="{D4AC8EB3-8E20-4646-ADC3-1346EA4CCCF4}"/>
    <cellStyle name="Moneda 206 3 2" xfId="11466" xr:uid="{14DC3440-1DD1-4D68-8809-0CEC845FCDE5}"/>
    <cellStyle name="Moneda 206 4" xfId="8546" xr:uid="{CC95D115-E260-48F9-BAFE-44765F0CBC4D}"/>
    <cellStyle name="Moneda 207" xfId="806" xr:uid="{21326A51-BB1C-4D22-B070-D61F60C9D083}"/>
    <cellStyle name="Moneda 207 2" xfId="2214" xr:uid="{90304628-46F5-4698-9D11-7A0240E943A4}"/>
    <cellStyle name="Moneda 207 2 2" xfId="5173" xr:uid="{D550113E-965B-462E-B2B0-17CA54470849}"/>
    <cellStyle name="Moneda 207 2 2 2" xfId="12741" xr:uid="{E211A816-F260-42AB-9D52-29AEB33D968F}"/>
    <cellStyle name="Moneda 207 2 3" xfId="9821" xr:uid="{FD868C5A-6DA8-4DC0-966E-04A1C541C179}"/>
    <cellStyle name="Moneda 207 3" xfId="3900" xr:uid="{F8A61773-A02F-41BD-A2B9-EE3A4A540E74}"/>
    <cellStyle name="Moneda 207 3 2" xfId="11468" xr:uid="{748F42B8-0A43-4164-B7B2-4DFF4526677E}"/>
    <cellStyle name="Moneda 207 4" xfId="8548" xr:uid="{1C022E42-0AD0-47B1-B4B3-76C32FB1D663}"/>
    <cellStyle name="Moneda 208" xfId="809" xr:uid="{01CEE7C5-620F-4CAA-8802-090422AC4FF3}"/>
    <cellStyle name="Moneda 208 2" xfId="2216" xr:uid="{08CFE2C7-EB45-4C23-AB0C-F6EF782995B2}"/>
    <cellStyle name="Moneda 208 2 2" xfId="5175" xr:uid="{FF6B7ECB-00E5-4636-80F4-085DDFA0F077}"/>
    <cellStyle name="Moneda 208 2 2 2" xfId="12743" xr:uid="{D1E0D0EA-8635-4B95-B7F4-3AFF0ECFE87A}"/>
    <cellStyle name="Moneda 208 2 3" xfId="9823" xr:uid="{BE635D86-CD8F-4C28-8600-1918BA308074}"/>
    <cellStyle name="Moneda 208 3" xfId="3902" xr:uid="{C901C30F-513D-4B87-90CC-BCBEF987DD10}"/>
    <cellStyle name="Moneda 208 3 2" xfId="11470" xr:uid="{32BDADC2-D6F3-4817-B498-39413431FF11}"/>
    <cellStyle name="Moneda 208 4" xfId="8550" xr:uid="{A1A9FE53-FC94-4D8A-A6AA-5C6E86FA6D39}"/>
    <cellStyle name="Moneda 209" xfId="812" xr:uid="{5F1203BD-CC6C-4555-9ED6-7B27924684C7}"/>
    <cellStyle name="Moneda 209 2" xfId="2218" xr:uid="{4F690A08-8754-4BD0-B4DC-0F375B4EFB0C}"/>
    <cellStyle name="Moneda 209 2 2" xfId="5177" xr:uid="{A0B61F9F-FB43-478D-8252-1EB33FB720C3}"/>
    <cellStyle name="Moneda 209 2 2 2" xfId="12745" xr:uid="{3574F1FA-1551-4223-9E16-38EA6C6D84D0}"/>
    <cellStyle name="Moneda 209 2 3" xfId="9825" xr:uid="{A73DFE79-BA21-4DCD-BC64-99E112F5EB99}"/>
    <cellStyle name="Moneda 209 3" xfId="3904" xr:uid="{D6261986-46D2-4416-93C1-91D7B684F576}"/>
    <cellStyle name="Moneda 209 3 2" xfId="11472" xr:uid="{B1B7DC21-9071-45BA-9A88-C23C85CEB9E2}"/>
    <cellStyle name="Moneda 209 4" xfId="8552" xr:uid="{FF5E69CD-23DF-4E82-981E-540C4F84E55F}"/>
    <cellStyle name="Moneda 21" xfId="247" xr:uid="{8C593CAD-1339-4825-8524-49D274A3FDA0}"/>
    <cellStyle name="Moneda 21 10" xfId="3212" xr:uid="{ABE2E853-677F-4936-ACD1-8D9D1ADB3602}"/>
    <cellStyle name="Moneda 21 10 2" xfId="6216" xr:uid="{CC164BC3-9892-4016-95A2-6ADB5747DAC2}"/>
    <cellStyle name="Moneda 21 10 2 2" xfId="13777" xr:uid="{72A16C44-8192-426A-9A55-F95D099F33EA}"/>
    <cellStyle name="Moneda 21 10 3" xfId="7620" xr:uid="{29C0602E-DB61-4084-8084-3A16DB0452B2}"/>
    <cellStyle name="Moneda 21 10 3 2" xfId="15149" xr:uid="{C901CEB5-5590-4999-A3D3-B0472ED46B93}"/>
    <cellStyle name="Moneda 21 10 4" xfId="10794" xr:uid="{8A433E71-11B9-492A-8CF9-7AA3DFCA9ED3}"/>
    <cellStyle name="Moneda 21 11" xfId="3340" xr:uid="{1FACECC9-B29A-46B2-BCE4-E2EAEF3612D0}"/>
    <cellStyle name="Moneda 21 11 2" xfId="6342" xr:uid="{6D28C7DB-E3B0-4C9F-A19B-36051F720C53}"/>
    <cellStyle name="Moneda 21 11 2 2" xfId="13903" xr:uid="{4513DD39-D003-4C1C-AF8E-7F98799539C6}"/>
    <cellStyle name="Moneda 21 11 3" xfId="7746" xr:uid="{E541E9A4-773A-450D-966D-05E1E5EDED68}"/>
    <cellStyle name="Moneda 21 11 3 2" xfId="15275" xr:uid="{BF452DCC-7B21-4608-8A2C-27F8ED91531B}"/>
    <cellStyle name="Moneda 21 11 4" xfId="10920" xr:uid="{2F83C5C0-BF88-42A7-AB68-8B5CB8A57064}"/>
    <cellStyle name="Moneda 21 12" xfId="2339" xr:uid="{84AACC97-946E-4799-83D0-E8A34EBF7E22}"/>
    <cellStyle name="Moneda 21 12 2" xfId="6478" xr:uid="{D4997FBF-B701-404E-B0FE-F88CEAAE5D71}"/>
    <cellStyle name="Moneda 21 12 2 2" xfId="14034" xr:uid="{0C98D5C8-8E1B-48E5-B075-9202C0E83013}"/>
    <cellStyle name="Moneda 21 12 3" xfId="7877" xr:uid="{143D736A-6633-4798-8013-0D1108F56227}"/>
    <cellStyle name="Moneda 21 12 3 2" xfId="15406" xr:uid="{A5A2F889-951F-4CD2-958D-E379D2638355}"/>
    <cellStyle name="Moneda 21 12 4" xfId="9935" xr:uid="{1B30DD52-9A39-48F4-8261-ABA2D96A1997}"/>
    <cellStyle name="Moneda 21 13" xfId="3528" xr:uid="{6350BDA7-2A6A-46B5-9859-44B11DCBF19A}"/>
    <cellStyle name="Moneda 21 13 2" xfId="11096" xr:uid="{AE1E9326-1B15-4151-8546-767B1687EB13}"/>
    <cellStyle name="Moneda 21 14" xfId="5357" xr:uid="{02625560-3C3B-4D41-8C6B-3268EA31D93B}"/>
    <cellStyle name="Moneda 21 14 2" xfId="12918" xr:uid="{9D80E57E-E619-445D-8CCE-1C46B5CA39EA}"/>
    <cellStyle name="Moneda 21 15" xfId="6761" xr:uid="{138A6BDA-5098-4BCB-A3FA-CD9870DEB10B}"/>
    <cellStyle name="Moneda 21 15 2" xfId="14290" xr:uid="{37645CF4-F64F-47AA-8075-7804E6393AA5}"/>
    <cellStyle name="Moneda 21 16" xfId="8176" xr:uid="{D823C024-F605-4FA7-A3F0-237CD1590654}"/>
    <cellStyle name="Moneda 21 2" xfId="1099" xr:uid="{77389657-5672-48C5-BDB2-7B0F497AF023}"/>
    <cellStyle name="Moneda 21 2 10" xfId="3370" xr:uid="{39BD5BBB-022E-456A-A30C-91AE139FA135}"/>
    <cellStyle name="Moneda 21 2 10 2" xfId="6372" xr:uid="{8C199F29-8E2B-4077-A21F-8C6E304D13F2}"/>
    <cellStyle name="Moneda 21 2 10 2 2" xfId="13933" xr:uid="{1FED8F91-DAF5-4906-98A5-DD4AAB64F097}"/>
    <cellStyle name="Moneda 21 2 10 3" xfId="7776" xr:uid="{72E8968E-689E-4903-9B5B-7AA92443457D}"/>
    <cellStyle name="Moneda 21 2 10 3 2" xfId="15305" xr:uid="{0478A784-49CE-46DD-B1DA-EFFA438DB1CB}"/>
    <cellStyle name="Moneda 21 2 10 4" xfId="10950" xr:uid="{BD8328BA-D86A-4B7D-A82D-4A9750839571}"/>
    <cellStyle name="Moneda 21 2 11" xfId="2375" xr:uid="{A6026B24-F9BD-471E-8077-60FF8C4C84A2}"/>
    <cellStyle name="Moneda 21 2 11 2" xfId="6508" xr:uid="{B4F3CC55-0FDB-4BF1-8750-EF4C8DDEDDC8}"/>
    <cellStyle name="Moneda 21 2 11 2 2" xfId="14064" xr:uid="{B52E7155-573F-48F8-A370-11445E879933}"/>
    <cellStyle name="Moneda 21 2 11 3" xfId="7907" xr:uid="{B67C9103-FD1F-45A5-A37F-8247D1D96E76}"/>
    <cellStyle name="Moneda 21 2 11 3 2" xfId="15436" xr:uid="{9D885631-D6D6-41C5-9574-5EA916720A7C}"/>
    <cellStyle name="Moneda 21 2 11 4" xfId="9965" xr:uid="{8175AC6D-5B0E-41C5-8C72-4C147BFD638B}"/>
    <cellStyle name="Moneda 21 2 12" xfId="4059" xr:uid="{1801C403-A297-45D2-85B9-5D8D551B61C1}"/>
    <cellStyle name="Moneda 21 2 12 2" xfId="11627" xr:uid="{1617FB0F-AF26-450D-9155-C53A2ED23F74}"/>
    <cellStyle name="Moneda 21 2 13" xfId="5387" xr:uid="{F0220E2E-8402-44CA-9D9D-FBA21746751C}"/>
    <cellStyle name="Moneda 21 2 13 2" xfId="12948" xr:uid="{C6915DC9-86E1-45E3-872E-4F3BCABA6778}"/>
    <cellStyle name="Moneda 21 2 14" xfId="6791" xr:uid="{98C3D427-89CC-4BB3-8ACA-70839F13DA66}"/>
    <cellStyle name="Moneda 21 2 14 2" xfId="14320" xr:uid="{019037EA-A243-4387-9C51-3BDFA3619D38}"/>
    <cellStyle name="Moneda 21 2 15" xfId="8707" xr:uid="{5903BD5E-3260-4DDF-8532-209586918EFD}"/>
    <cellStyle name="Moneda 21 2 2" xfId="2435" xr:uid="{C67F3650-689E-41D5-B605-860F39841805}"/>
    <cellStyle name="Moneda 21 2 2 10" xfId="6566" xr:uid="{98371166-2538-4316-96CC-5BC5A11B4EFE}"/>
    <cellStyle name="Moneda 21 2 2 10 2" xfId="7965" xr:uid="{F41C3EB0-19E8-4306-90F7-2CEED882C1ED}"/>
    <cellStyle name="Moneda 21 2 2 10 2 2" xfId="15494" xr:uid="{AEDBC6D3-82FB-4E38-A76A-A90CF206E58C}"/>
    <cellStyle name="Moneda 21 2 2 10 3" xfId="14122" xr:uid="{4872FD81-FA2C-434D-A5DE-726C6D71C270}"/>
    <cellStyle name="Moneda 21 2 2 11" xfId="5445" xr:uid="{EE58BA91-286E-4F25-8798-82151167C60D}"/>
    <cellStyle name="Moneda 21 2 2 11 2" xfId="13006" xr:uid="{E733FE94-BBD8-4B6F-B1DD-72EB210564FB}"/>
    <cellStyle name="Moneda 21 2 2 12" xfId="6849" xr:uid="{E421D0EE-C8A4-406D-AB30-E7C7F0B785FD}"/>
    <cellStyle name="Moneda 21 2 2 12 2" xfId="14378" xr:uid="{6C18B268-06F4-47B0-8515-F9C0DDEF042D}"/>
    <cellStyle name="Moneda 21 2 2 13" xfId="10023" xr:uid="{25821BEB-2FEC-465A-9278-990C8196D242}"/>
    <cellStyle name="Moneda 21 2 2 2" xfId="2559" xr:uid="{91CCA8A9-5FCF-4F57-BA9E-30449DFD2B64}"/>
    <cellStyle name="Moneda 21 2 2 2 2" xfId="6701" xr:uid="{F6D29195-719B-47DB-8FA7-FA46EF70BB0F}"/>
    <cellStyle name="Moneda 21 2 2 2 2 2" xfId="8087" xr:uid="{20E3C16E-07AE-46DF-8725-A3178FEA8E77}"/>
    <cellStyle name="Moneda 21 2 2 2 2 2 2" xfId="15616" xr:uid="{0103F403-AF48-4B10-A94F-92E641846427}"/>
    <cellStyle name="Moneda 21 2 2 2 2 3" xfId="14244" xr:uid="{9993B809-D85E-4082-86DC-774C8796280A}"/>
    <cellStyle name="Moneda 21 2 2 2 3" xfId="5565" xr:uid="{1FA10275-24CC-4750-9EC2-29AB607E8600}"/>
    <cellStyle name="Moneda 21 2 2 2 3 2" xfId="13126" xr:uid="{57F38810-FF0D-433C-A985-A919A3DC3230}"/>
    <cellStyle name="Moneda 21 2 2 2 4" xfId="6969" xr:uid="{E73D4FC6-F831-4187-8C13-A6FC57F30B7F}"/>
    <cellStyle name="Moneda 21 2 2 2 4 2" xfId="14498" xr:uid="{CE35C243-6CE2-4FDD-BE1E-35902CF15D0B}"/>
    <cellStyle name="Moneda 21 2 2 2 5" xfId="10143" xr:uid="{0B3611FA-29F4-4D68-8878-C0F2346D848F}"/>
    <cellStyle name="Moneda 21 2 2 3" xfId="2680" xr:uid="{9C593851-12CB-49D6-BAAA-CD7AD7AFBB85}"/>
    <cellStyle name="Moneda 21 2 2 3 2" xfId="5685" xr:uid="{24D409D4-5AD1-4301-A02D-A10ED01F0A00}"/>
    <cellStyle name="Moneda 21 2 2 3 2 2" xfId="13246" xr:uid="{A4785098-E263-4107-AD4F-E300C8F53B50}"/>
    <cellStyle name="Moneda 21 2 2 3 3" xfId="7089" xr:uid="{DC673B85-1024-4E42-A88F-4C2C9D7B6761}"/>
    <cellStyle name="Moneda 21 2 2 3 3 2" xfId="14618" xr:uid="{13CA7610-5C7F-4AFC-9236-75D3F29A5845}"/>
    <cellStyle name="Moneda 21 2 2 3 4" xfId="10263" xr:uid="{0D475A98-9540-4653-A951-4C0216D8C284}"/>
    <cellStyle name="Moneda 21 2 2 4" xfId="2802" xr:uid="{7442C1ED-6195-49DD-9B68-5B6322B969F8}"/>
    <cellStyle name="Moneda 21 2 2 4 2" xfId="5807" xr:uid="{50DC6E36-FF52-4C27-BF8A-7E9B6D7D75A7}"/>
    <cellStyle name="Moneda 21 2 2 4 2 2" xfId="13368" xr:uid="{601D31F7-758F-4B90-AA8E-3A3814BD38FF}"/>
    <cellStyle name="Moneda 21 2 2 4 3" xfId="7211" xr:uid="{C20A39ED-1B8C-450B-8BB2-F27DB1838E9F}"/>
    <cellStyle name="Moneda 21 2 2 4 3 2" xfId="14740" xr:uid="{E78AFBBC-A0F3-4B2C-80BA-BCD1EF1ADFE3}"/>
    <cellStyle name="Moneda 21 2 2 4 4" xfId="10385" xr:uid="{BD89EEE3-C2D2-4970-9765-751504D744B2}"/>
    <cellStyle name="Moneda 21 2 2 5" xfId="2927" xr:uid="{C834619B-5002-47C5-BDA1-0966FE3FBB44}"/>
    <cellStyle name="Moneda 21 2 2 5 2" xfId="5931" xr:uid="{796D2D02-9639-4B40-8103-6B2805B83F43}"/>
    <cellStyle name="Moneda 21 2 2 5 2 2" xfId="13492" xr:uid="{D6AB47B8-FFCA-4C7E-B9D4-1FE943C4E2D4}"/>
    <cellStyle name="Moneda 21 2 2 5 3" xfId="7335" xr:uid="{73A7B9AA-8BC3-4C34-AA3E-0A7B018B02DB}"/>
    <cellStyle name="Moneda 21 2 2 5 3 2" xfId="14864" xr:uid="{CD7D191C-CC49-4398-AC53-ABF2B0FDA9C8}"/>
    <cellStyle name="Moneda 21 2 2 5 4" xfId="10509" xr:uid="{165F7329-057B-4DED-BD4F-404BA19F287D}"/>
    <cellStyle name="Moneda 21 2 2 6" xfId="3051" xr:uid="{6FC3A7BE-F5B5-459B-A766-0537CFFF7AF2}"/>
    <cellStyle name="Moneda 21 2 2 6 2" xfId="6055" xr:uid="{8C154025-AE10-4988-8DC0-0B36A66F37F5}"/>
    <cellStyle name="Moneda 21 2 2 6 2 2" xfId="13616" xr:uid="{315F1AB5-2808-4537-BE6E-22952E8A55AF}"/>
    <cellStyle name="Moneda 21 2 2 6 3" xfId="7459" xr:uid="{BBA83BB3-8B2B-4B92-89C5-478D21897BBC}"/>
    <cellStyle name="Moneda 21 2 2 6 3 2" xfId="14988" xr:uid="{E1CC8FA1-D084-410C-A7BF-25DCE822B18F}"/>
    <cellStyle name="Moneda 21 2 2 6 4" xfId="10633" xr:uid="{7CEC0432-F293-41D5-AF20-2B912674B4DC}"/>
    <cellStyle name="Moneda 21 2 2 7" xfId="3175" xr:uid="{DA72D1FD-E535-42FE-999F-80FF804C08BF}"/>
    <cellStyle name="Moneda 21 2 2 7 2" xfId="6179" xr:uid="{8A1FA2EA-DBEC-46E7-90C3-D949FFBDFD9D}"/>
    <cellStyle name="Moneda 21 2 2 7 2 2" xfId="13740" xr:uid="{34B21BEB-FF1E-48F3-8B7A-8B462CC67205}"/>
    <cellStyle name="Moneda 21 2 2 7 3" xfId="7583" xr:uid="{D189E2A2-320A-46F4-A214-71DFB7483EE3}"/>
    <cellStyle name="Moneda 21 2 2 7 3 2" xfId="15112" xr:uid="{53530192-260D-4372-8A02-B6DFF4C4DCB2}"/>
    <cellStyle name="Moneda 21 2 2 7 4" xfId="10757" xr:uid="{C886A686-292E-476B-8694-9B7DCD88136F}"/>
    <cellStyle name="Moneda 21 2 2 8" xfId="3300" xr:uid="{F1F83F77-2F3C-4248-9081-9D079D955713}"/>
    <cellStyle name="Moneda 21 2 2 8 2" xfId="6304" xr:uid="{6AB6CC6B-771C-466D-A1FB-A228A56BAEB1}"/>
    <cellStyle name="Moneda 21 2 2 8 2 2" xfId="13865" xr:uid="{5551FB74-C416-4E5A-AA33-4D4E260FFA23}"/>
    <cellStyle name="Moneda 21 2 2 8 3" xfId="7708" xr:uid="{50A6DE73-AE22-4947-A29C-37F1898B6E09}"/>
    <cellStyle name="Moneda 21 2 2 8 3 2" xfId="15237" xr:uid="{719A2D66-3CD5-4D84-99E5-3FC343C3BB93}"/>
    <cellStyle name="Moneda 21 2 2 8 4" xfId="10882" xr:uid="{5479DA9B-EDE6-438C-8375-10C8800E4BBD}"/>
    <cellStyle name="Moneda 21 2 2 9" xfId="3428" xr:uid="{DCFF1C3F-D1B4-41B6-B60E-8B30992876F5}"/>
    <cellStyle name="Moneda 21 2 2 9 2" xfId="6430" xr:uid="{C5C2D780-9455-4A45-916C-9C052E80476E}"/>
    <cellStyle name="Moneda 21 2 2 9 2 2" xfId="13991" xr:uid="{484F4D33-CF44-4C8F-AEAB-942667D78256}"/>
    <cellStyle name="Moneda 21 2 2 9 3" xfId="7834" xr:uid="{BC5EC033-8153-487F-8A1D-44EC95DD3317}"/>
    <cellStyle name="Moneda 21 2 2 9 3 2" xfId="15363" xr:uid="{867CA50E-ACEB-4121-A8B5-0E71185CAB14}"/>
    <cellStyle name="Moneda 21 2 2 9 4" xfId="11008" xr:uid="{4AAB2580-2EBD-4E70-B25C-4E263679B14C}"/>
    <cellStyle name="Moneda 21 2 3" xfId="2501" xr:uid="{D296EB2B-DCDC-480F-813B-57B9307186F3}"/>
    <cellStyle name="Moneda 21 2 3 2" xfId="6643" xr:uid="{6AE4AC83-120E-4F58-BFA8-C4958830ABA6}"/>
    <cellStyle name="Moneda 21 2 3 2 2" xfId="8029" xr:uid="{0E9D2653-7700-4A57-8CB1-E7A7165141EF}"/>
    <cellStyle name="Moneda 21 2 3 2 2 2" xfId="15558" xr:uid="{9F665A32-0EFC-4039-AADB-B8F1D82EC8C2}"/>
    <cellStyle name="Moneda 21 2 3 2 3" xfId="14186" xr:uid="{8BA158B9-BB5B-4FED-912A-48FDB9FB4AA0}"/>
    <cellStyle name="Moneda 21 2 3 3" xfId="5507" xr:uid="{33ECB9B8-CFF1-41AB-BCEA-F394760D44FF}"/>
    <cellStyle name="Moneda 21 2 3 3 2" xfId="13068" xr:uid="{1F66A2C7-2561-427F-BC2A-BF98B25FC106}"/>
    <cellStyle name="Moneda 21 2 3 4" xfId="6911" xr:uid="{9DADB290-9ED8-471E-9A3F-702DC0FB82FE}"/>
    <cellStyle name="Moneda 21 2 3 4 2" xfId="14440" xr:uid="{C42CCB7F-B14A-41A1-80ED-2AAB2336AC11}"/>
    <cellStyle name="Moneda 21 2 3 5" xfId="10085" xr:uid="{58EA1DCB-61B0-4060-9240-7B6845E7360A}"/>
    <cellStyle name="Moneda 21 2 4" xfId="2622" xr:uid="{38BB50E4-09D4-4E35-B737-282046B8DEC1}"/>
    <cellStyle name="Moneda 21 2 4 2" xfId="5627" xr:uid="{6A796BF0-7D0E-4E4F-8860-D78743EDEB7B}"/>
    <cellStyle name="Moneda 21 2 4 2 2" xfId="13188" xr:uid="{F96CD5D5-3B98-4120-8594-87B33DA2EF71}"/>
    <cellStyle name="Moneda 21 2 4 3" xfId="7031" xr:uid="{542A58BC-BBC6-4F66-A57D-0E92B130DF42}"/>
    <cellStyle name="Moneda 21 2 4 3 2" xfId="14560" xr:uid="{0DEAD0D1-E64A-4E7A-86D3-6E6E5B572CD0}"/>
    <cellStyle name="Moneda 21 2 4 4" xfId="10205" xr:uid="{9E33A5B6-7BBC-41E6-8D8C-48C1274C652C}"/>
    <cellStyle name="Moneda 21 2 5" xfId="2744" xr:uid="{1F73E55C-30B2-489E-B421-DD954AC262FD}"/>
    <cellStyle name="Moneda 21 2 5 2" xfId="5749" xr:uid="{752E44AD-B703-4BD4-A6F7-82A916882468}"/>
    <cellStyle name="Moneda 21 2 5 2 2" xfId="13310" xr:uid="{D2218DB2-5E52-42AE-81AB-BC6C4BA8685F}"/>
    <cellStyle name="Moneda 21 2 5 3" xfId="7153" xr:uid="{0D6A9530-1655-4899-A11D-5E6EE40C56EE}"/>
    <cellStyle name="Moneda 21 2 5 3 2" xfId="14682" xr:uid="{BD4E4B83-C2E1-49C4-BD48-E43BC0AB8679}"/>
    <cellStyle name="Moneda 21 2 5 4" xfId="10327" xr:uid="{9EBADD64-C7D5-4AD1-BBDE-DA2FA836F6D0}"/>
    <cellStyle name="Moneda 21 2 6" xfId="2869" xr:uid="{C6C505C0-3909-4FA5-BC72-E392984AC395}"/>
    <cellStyle name="Moneda 21 2 6 2" xfId="5873" xr:uid="{4416CE57-D168-490B-9896-3B9DF2FD6F58}"/>
    <cellStyle name="Moneda 21 2 6 2 2" xfId="13434" xr:uid="{2755A3DE-5A47-43DE-AEA8-A29CDC5F89A4}"/>
    <cellStyle name="Moneda 21 2 6 3" xfId="7277" xr:uid="{A8E3E091-1C73-46EA-9E2F-C82CF8A49EFB}"/>
    <cellStyle name="Moneda 21 2 6 3 2" xfId="14806" xr:uid="{EC047B6A-E527-4BFC-8939-3D21E3849CA2}"/>
    <cellStyle name="Moneda 21 2 6 4" xfId="10451" xr:uid="{2713D5E5-DA60-46CF-8E75-4E72C075F7DC}"/>
    <cellStyle name="Moneda 21 2 7" xfId="2993" xr:uid="{0C6035B5-0A7E-4025-8569-24258C3A4920}"/>
    <cellStyle name="Moneda 21 2 7 2" xfId="5997" xr:uid="{DEEE3082-0B85-4715-94A3-31BED9EB059F}"/>
    <cellStyle name="Moneda 21 2 7 2 2" xfId="13558" xr:uid="{501F24B4-BE8F-4BDB-B486-B9243DDE3443}"/>
    <cellStyle name="Moneda 21 2 7 3" xfId="7401" xr:uid="{A84EC4A4-CC2C-4BCE-86F3-E2F12B47C05B}"/>
    <cellStyle name="Moneda 21 2 7 3 2" xfId="14930" xr:uid="{4FCEB847-E2D1-44E5-BF93-367416A39671}"/>
    <cellStyle name="Moneda 21 2 7 4" xfId="10575" xr:uid="{5BAE5523-4386-492B-B510-74FC5AA29195}"/>
    <cellStyle name="Moneda 21 2 8" xfId="3117" xr:uid="{BAB4AA36-F7E7-46A0-9E92-7E68AB7F9EEB}"/>
    <cellStyle name="Moneda 21 2 8 2" xfId="6121" xr:uid="{ADA5F42B-2120-44F9-8D5B-CC233A28F9F6}"/>
    <cellStyle name="Moneda 21 2 8 2 2" xfId="13682" xr:uid="{6AF741F9-544E-4BBA-AB51-5F8D5575564B}"/>
    <cellStyle name="Moneda 21 2 8 3" xfId="7525" xr:uid="{E04C0CDC-FE5B-466D-9AB5-191D5B0E2882}"/>
    <cellStyle name="Moneda 21 2 8 3 2" xfId="15054" xr:uid="{FA86BAD5-2B1C-4E4B-B634-442CD69A459C}"/>
    <cellStyle name="Moneda 21 2 8 4" xfId="10699" xr:uid="{D000415E-4B52-451A-8C3C-364D00B1387B}"/>
    <cellStyle name="Moneda 21 2 9" xfId="3242" xr:uid="{D44D93F8-4AB3-40D0-99B4-4DDD79F36BFD}"/>
    <cellStyle name="Moneda 21 2 9 2" xfId="6246" xr:uid="{9E8C501D-1949-4276-BC51-D8BAC85D1E15}"/>
    <cellStyle name="Moneda 21 2 9 2 2" xfId="13807" xr:uid="{A9431309-3028-407E-8616-36A84B801BDE}"/>
    <cellStyle name="Moneda 21 2 9 3" xfId="7650" xr:uid="{8B7E2BAD-A8E6-4FA1-A9FE-A1D3BFAC9C43}"/>
    <cellStyle name="Moneda 21 2 9 3 2" xfId="15179" xr:uid="{89F42512-E075-4A5B-AB9C-0FF134920583}"/>
    <cellStyle name="Moneda 21 2 9 4" xfId="10824" xr:uid="{01A56922-EC08-4B29-8AC9-607595808E8D}"/>
    <cellStyle name="Moneda 21 3" xfId="1463" xr:uid="{83AA3696-CEE8-4AA0-8E2F-F20B87B38AF9}"/>
    <cellStyle name="Moneda 21 3 10" xfId="2405" xr:uid="{33DEE7E0-8841-4F26-8D75-DCFA41822433}"/>
    <cellStyle name="Moneda 21 3 10 2" xfId="6536" xr:uid="{D5B36E97-E206-494B-8F62-1A321DE2B52E}"/>
    <cellStyle name="Moneda 21 3 10 2 2" xfId="14092" xr:uid="{8B06E321-52B7-4AC8-B8D3-D5E58618F59F}"/>
    <cellStyle name="Moneda 21 3 10 3" xfId="7935" xr:uid="{E8C0A4CF-645E-4868-B2C6-6A73A782C242}"/>
    <cellStyle name="Moneda 21 3 10 3 2" xfId="15464" xr:uid="{68222E39-1994-4D79-919F-B8E9BE4A5814}"/>
    <cellStyle name="Moneda 21 3 10 4" xfId="9993" xr:uid="{F78DD3A9-2BBF-4FE8-91D6-BC5E46701170}"/>
    <cellStyle name="Moneda 21 3 11" xfId="4423" xr:uid="{3889EDEA-19FA-438C-A0E3-9F7FC80CA75E}"/>
    <cellStyle name="Moneda 21 3 11 2" xfId="11991" xr:uid="{0AD9490B-74B3-48A8-B3A5-D63BE2A95819}"/>
    <cellStyle name="Moneda 21 3 12" xfId="5415" xr:uid="{E50057C7-FD5C-48DC-88F5-E4E0BED4B2B1}"/>
    <cellStyle name="Moneda 21 3 12 2" xfId="12976" xr:uid="{8B44413A-FEA6-47FB-97F5-60A95E2A8B4D}"/>
    <cellStyle name="Moneda 21 3 13" xfId="6819" xr:uid="{04E18E65-9CDA-4D73-9AAC-36A0FD93B20C}"/>
    <cellStyle name="Moneda 21 3 13 2" xfId="14348" xr:uid="{FBC75963-9013-4B40-9630-7313DC384690}"/>
    <cellStyle name="Moneda 21 3 14" xfId="9071" xr:uid="{B563D44B-2B96-4613-AF5A-929EA0BAAE72}"/>
    <cellStyle name="Moneda 21 3 2" xfId="2529" xr:uid="{D6F3CD0F-11FE-421B-A4DB-BA4A140F9858}"/>
    <cellStyle name="Moneda 21 3 2 2" xfId="6671" xr:uid="{2BF5351D-335A-4F4F-A8D4-2737505B2072}"/>
    <cellStyle name="Moneda 21 3 2 2 2" xfId="8057" xr:uid="{C0BFA35B-961A-497E-8D79-2D2681C90A94}"/>
    <cellStyle name="Moneda 21 3 2 2 2 2" xfId="15586" xr:uid="{C04963C0-09D3-4337-9B20-508245E4919D}"/>
    <cellStyle name="Moneda 21 3 2 2 3" xfId="14214" xr:uid="{A783F8C4-2187-4663-BB6C-0E32EE0121CC}"/>
    <cellStyle name="Moneda 21 3 2 3" xfId="5535" xr:uid="{3A9588EA-121B-430B-8E00-071AB75F3D92}"/>
    <cellStyle name="Moneda 21 3 2 3 2" xfId="13096" xr:uid="{C76E76DF-2E4E-4E84-9159-2B699E4929E5}"/>
    <cellStyle name="Moneda 21 3 2 4" xfId="6939" xr:uid="{784FF8D0-9811-429B-833B-4ABAFD502A5F}"/>
    <cellStyle name="Moneda 21 3 2 4 2" xfId="14468" xr:uid="{8AE32CD2-316D-4DE8-9659-136E619D9061}"/>
    <cellStyle name="Moneda 21 3 2 5" xfId="10113" xr:uid="{2B91391A-4BF3-4A12-A3E3-83FCB93F3291}"/>
    <cellStyle name="Moneda 21 3 3" xfId="2650" xr:uid="{0901206E-D297-4960-902C-E19126A47442}"/>
    <cellStyle name="Moneda 21 3 3 2" xfId="5655" xr:uid="{1626275C-2F0B-41C2-ACC9-546EF4C09083}"/>
    <cellStyle name="Moneda 21 3 3 2 2" xfId="13216" xr:uid="{1441B0BC-3744-4225-9831-611D1E3955EE}"/>
    <cellStyle name="Moneda 21 3 3 3" xfId="7059" xr:uid="{6E1B3DC1-A886-42B0-8DB1-6DC3E16BA8ED}"/>
    <cellStyle name="Moneda 21 3 3 3 2" xfId="14588" xr:uid="{37039377-B52B-4411-A4F6-54D99709F2EA}"/>
    <cellStyle name="Moneda 21 3 3 4" xfId="10233" xr:uid="{8CBB76A3-B8AE-41FC-B696-C4E5328B15B8}"/>
    <cellStyle name="Moneda 21 3 4" xfId="2772" xr:uid="{119AF4B6-D229-4653-B135-957452995476}"/>
    <cellStyle name="Moneda 21 3 4 2" xfId="5777" xr:uid="{035C37D5-34B9-4C52-B2C0-ED1A9A67F9C2}"/>
    <cellStyle name="Moneda 21 3 4 2 2" xfId="13338" xr:uid="{5E9F6612-064D-43E5-AC63-30BA7FBCC2F5}"/>
    <cellStyle name="Moneda 21 3 4 3" xfId="7181" xr:uid="{917FAAA5-011D-40BF-AA9D-D635D4ABE831}"/>
    <cellStyle name="Moneda 21 3 4 3 2" xfId="14710" xr:uid="{F3283045-3BC8-4956-8A51-18CEEDE9CDAB}"/>
    <cellStyle name="Moneda 21 3 4 4" xfId="10355" xr:uid="{BEDBD0FD-1009-4B2E-BC35-D14CC611CB96}"/>
    <cellStyle name="Moneda 21 3 5" xfId="2897" xr:uid="{C04A0361-58A8-4F10-92A0-F3062AA3CF6C}"/>
    <cellStyle name="Moneda 21 3 5 2" xfId="5901" xr:uid="{0059991F-823E-4A53-BF7C-AF7A81BD83D7}"/>
    <cellStyle name="Moneda 21 3 5 2 2" xfId="13462" xr:uid="{F80A6E2D-2015-482B-AF60-2C8FA00EB8A6}"/>
    <cellStyle name="Moneda 21 3 5 3" xfId="7305" xr:uid="{6F96A359-C12F-4C18-8F43-846AFEDB15D7}"/>
    <cellStyle name="Moneda 21 3 5 3 2" xfId="14834" xr:uid="{D2FACAC0-D8A8-4AA0-9569-8AD10AC77289}"/>
    <cellStyle name="Moneda 21 3 5 4" xfId="10479" xr:uid="{BE3E8111-653E-4F8B-AAEB-08B6812F14E8}"/>
    <cellStyle name="Moneda 21 3 6" xfId="3021" xr:uid="{E7AEEADD-C85E-4052-9D9C-2DA70395078D}"/>
    <cellStyle name="Moneda 21 3 6 2" xfId="6025" xr:uid="{77359673-744B-4D04-BDA4-7556E83E7DA8}"/>
    <cellStyle name="Moneda 21 3 6 2 2" xfId="13586" xr:uid="{AA949C13-894B-4E45-8E08-C49604E759EC}"/>
    <cellStyle name="Moneda 21 3 6 3" xfId="7429" xr:uid="{6D1D8AB1-BE34-4BE8-A464-691D130E1E2E}"/>
    <cellStyle name="Moneda 21 3 6 3 2" xfId="14958" xr:uid="{0C15BE30-3160-498B-908E-7220CA44B500}"/>
    <cellStyle name="Moneda 21 3 6 4" xfId="10603" xr:uid="{625ACD6E-12B8-4DE4-BB47-63A7C8886546}"/>
    <cellStyle name="Moneda 21 3 7" xfId="3145" xr:uid="{53A4FE7D-0F6B-4531-8E5A-38C185ED6896}"/>
    <cellStyle name="Moneda 21 3 7 2" xfId="6149" xr:uid="{E716C858-AD2D-491F-A797-B6356CC37039}"/>
    <cellStyle name="Moneda 21 3 7 2 2" xfId="13710" xr:uid="{0D0BF5D8-33CD-40F3-BD3E-509998A70D1F}"/>
    <cellStyle name="Moneda 21 3 7 3" xfId="7553" xr:uid="{8F74DF0B-EEA3-4708-912A-6F61F50D9CFC}"/>
    <cellStyle name="Moneda 21 3 7 3 2" xfId="15082" xr:uid="{F8FB68C2-82C1-4753-8E40-AE774F916194}"/>
    <cellStyle name="Moneda 21 3 7 4" xfId="10727" xr:uid="{75278B27-B4AD-47DE-87F8-D33FDEB9DA49}"/>
    <cellStyle name="Moneda 21 3 8" xfId="3270" xr:uid="{2057F96A-8DF4-4DF4-B1D3-443B90EF071B}"/>
    <cellStyle name="Moneda 21 3 8 2" xfId="6274" xr:uid="{BD908030-47CA-4931-9E37-E1477F6D6E18}"/>
    <cellStyle name="Moneda 21 3 8 2 2" xfId="13835" xr:uid="{962CA0AD-94EB-4DCC-AC40-4B8C71DDF306}"/>
    <cellStyle name="Moneda 21 3 8 3" xfId="7678" xr:uid="{708DCC7C-9A44-4DA9-B399-6E719E21F497}"/>
    <cellStyle name="Moneda 21 3 8 3 2" xfId="15207" xr:uid="{105F3C90-7E5A-4480-91AB-EA8A1E280165}"/>
    <cellStyle name="Moneda 21 3 8 4" xfId="10852" xr:uid="{7893D93E-D2AC-45DA-B861-45CFF3F2B016}"/>
    <cellStyle name="Moneda 21 3 9" xfId="3398" xr:uid="{D33C38C9-ADB0-45F2-A540-F5E73745135F}"/>
    <cellStyle name="Moneda 21 3 9 2" xfId="6400" xr:uid="{BBF70D56-80AD-4BF1-ABB7-C7F2DA195EB7}"/>
    <cellStyle name="Moneda 21 3 9 2 2" xfId="13961" xr:uid="{772851AC-0CBB-40BF-A3A0-F4AD4B091FB9}"/>
    <cellStyle name="Moneda 21 3 9 3" xfId="7804" xr:uid="{F46F39B6-EECB-4DF1-902E-ED7DF00C2839}"/>
    <cellStyle name="Moneda 21 3 9 3 2" xfId="15333" xr:uid="{0AEB4A1A-8FBD-4D52-AB14-52A07914FC17}"/>
    <cellStyle name="Moneda 21 3 9 4" xfId="10978" xr:uid="{66FBFE3C-24BA-47CA-BFB5-AB02BE65CB18}"/>
    <cellStyle name="Moneda 21 4" xfId="1842" xr:uid="{CD776603-7377-492F-B149-9EE0CE9FC1BB}"/>
    <cellStyle name="Moneda 21 4 2" xfId="2470" xr:uid="{E503E78D-5E66-4CA0-A0FD-E1227FA5DE09}"/>
    <cellStyle name="Moneda 21 4 2 2" xfId="6613" xr:uid="{C2B1B48F-4C78-4B56-8AEB-7554CE96807A}"/>
    <cellStyle name="Moneda 21 4 2 2 2" xfId="14156" xr:uid="{D7DD6D28-CE7D-4504-9C43-2E8642470C11}"/>
    <cellStyle name="Moneda 21 4 2 3" xfId="7999" xr:uid="{D2CD0C3B-D129-4D2E-B4B9-6938FE552A38}"/>
    <cellStyle name="Moneda 21 4 2 3 2" xfId="15528" xr:uid="{A5D65B5F-962D-4BD3-81FB-273E4DD09F12}"/>
    <cellStyle name="Moneda 21 4 2 4" xfId="10054" xr:uid="{3C3AC29B-9555-4325-B61C-962A85DA16C3}"/>
    <cellStyle name="Moneda 21 4 3" xfId="4801" xr:uid="{C4200C0E-5660-4573-B0F7-1957EDE60982}"/>
    <cellStyle name="Moneda 21 4 3 2" xfId="12369" xr:uid="{F4051BF7-379C-49B9-9089-74EBD0D53BF4}"/>
    <cellStyle name="Moneda 21 4 4" xfId="5476" xr:uid="{64DA4D37-ABE9-4BE9-9E2B-584CA9757D04}"/>
    <cellStyle name="Moneda 21 4 4 2" xfId="13037" xr:uid="{188EE863-2BCB-41B7-B19C-F27BEA9D6F60}"/>
    <cellStyle name="Moneda 21 4 5" xfId="6880" xr:uid="{62CF5AA9-2971-4CDF-9D4D-C7409AB4DAE6}"/>
    <cellStyle name="Moneda 21 4 5 2" xfId="14409" xr:uid="{B22097FE-04A9-4F85-AEF7-A931369C0097}"/>
    <cellStyle name="Moneda 21 4 6" xfId="9449" xr:uid="{8C6A5A7C-AD13-4E39-AA64-838B9FC2E1AD}"/>
    <cellStyle name="Moneda 21 5" xfId="2592" xr:uid="{D70C74E5-652B-45DC-BD6D-AB1BEA8EAD05}"/>
    <cellStyle name="Moneda 21 5 2" xfId="5597" xr:uid="{0C53EF32-4BEA-4C36-B7B8-F7B26FBFA8EF}"/>
    <cellStyle name="Moneda 21 5 2 2" xfId="13158" xr:uid="{BEE42375-1749-4288-A7DB-F5D46810794A}"/>
    <cellStyle name="Moneda 21 5 3" xfId="7001" xr:uid="{E5EB4E7D-CB8A-4FBE-A4FE-0F0D31C4851B}"/>
    <cellStyle name="Moneda 21 5 3 2" xfId="14530" xr:uid="{5786FA48-9943-469D-92CA-08D9E786AF23}"/>
    <cellStyle name="Moneda 21 5 4" xfId="10175" xr:uid="{0737D010-39EC-4158-8831-978957EF8A7C}"/>
    <cellStyle name="Moneda 21 6" xfId="2714" xr:uid="{AB6F724F-E94B-4946-994D-D4A5677B26F4}"/>
    <cellStyle name="Moneda 21 6 2" xfId="5719" xr:uid="{A336F754-8C35-493F-A493-27E38D49177C}"/>
    <cellStyle name="Moneda 21 6 2 2" xfId="13280" xr:uid="{1ADCF315-B7A7-4A6B-BED6-A0D1A3430161}"/>
    <cellStyle name="Moneda 21 6 3" xfId="7123" xr:uid="{E61D1492-82C9-4B37-A0EB-92137D5CABDD}"/>
    <cellStyle name="Moneda 21 6 3 2" xfId="14652" xr:uid="{1D77EA40-1F7D-4E78-AB08-6F9712FFFE85}"/>
    <cellStyle name="Moneda 21 6 4" xfId="10297" xr:uid="{6EBFC9EB-2FE5-4490-A994-D6665C95D681}"/>
    <cellStyle name="Moneda 21 7" xfId="2839" xr:uid="{B9C01164-8B84-4F84-9903-6F1FA603D8D4}"/>
    <cellStyle name="Moneda 21 7 2" xfId="5843" xr:uid="{0F348DF3-BE31-469B-BF31-8DBE06E201C7}"/>
    <cellStyle name="Moneda 21 7 2 2" xfId="13404" xr:uid="{9FA3FBF3-E648-483D-AEBB-711C160B6796}"/>
    <cellStyle name="Moneda 21 7 3" xfId="7247" xr:uid="{AFEA1A51-9664-4AD5-8302-B6BE3BC1CD93}"/>
    <cellStyle name="Moneda 21 7 3 2" xfId="14776" xr:uid="{D3CCE5C9-CCAA-4641-AE54-5F402F404354}"/>
    <cellStyle name="Moneda 21 7 4" xfId="10421" xr:uid="{3190918B-58CE-4790-80D5-D33C6899ADEF}"/>
    <cellStyle name="Moneda 21 8" xfId="2963" xr:uid="{A0DD98F1-F1D6-49A5-BA7A-7F26E9554838}"/>
    <cellStyle name="Moneda 21 8 2" xfId="5967" xr:uid="{D617395F-FA5E-440D-ACE7-D2D77033A0C5}"/>
    <cellStyle name="Moneda 21 8 2 2" xfId="13528" xr:uid="{2EEA69E5-0C1B-4055-826B-6D0B14390AF1}"/>
    <cellStyle name="Moneda 21 8 3" xfId="7371" xr:uid="{1AA71A22-7DB1-4F2D-8531-BF0A21660075}"/>
    <cellStyle name="Moneda 21 8 3 2" xfId="14900" xr:uid="{5F0AE32B-92CA-4A46-A4B8-8B9EE366D0C1}"/>
    <cellStyle name="Moneda 21 8 4" xfId="10545" xr:uid="{ACC1EFB7-7B74-4444-B731-45B81F859B12}"/>
    <cellStyle name="Moneda 21 9" xfId="3087" xr:uid="{1EF31937-4CBB-466F-9F91-E4E9512D1E9C}"/>
    <cellStyle name="Moneda 21 9 2" xfId="6091" xr:uid="{10AF61C1-50DA-4E86-932E-365A08AAD5DD}"/>
    <cellStyle name="Moneda 21 9 2 2" xfId="13652" xr:uid="{59C7D2AA-9B6F-4454-A168-9265ECC1F0E6}"/>
    <cellStyle name="Moneda 21 9 3" xfId="7495" xr:uid="{54CC306C-A5EC-4EE0-9EFB-0A555A3430B3}"/>
    <cellStyle name="Moneda 21 9 3 2" xfId="15024" xr:uid="{CEAFE0EF-5088-4683-82FA-3F8AD55F8EDC}"/>
    <cellStyle name="Moneda 21 9 4" xfId="10669" xr:uid="{06067332-79F2-4D6C-9C03-BCC7D5CEB3A9}"/>
    <cellStyle name="Moneda 210" xfId="815" xr:uid="{BDDCFD26-E518-46EB-8B9D-FA442AFDF2F0}"/>
    <cellStyle name="Moneda 210 2" xfId="2220" xr:uid="{9E4EF59C-8243-48FF-99BE-B5F82DF50914}"/>
    <cellStyle name="Moneda 210 2 2" xfId="5179" xr:uid="{A45EC975-430B-4918-8360-905DD35288F4}"/>
    <cellStyle name="Moneda 210 2 2 2" xfId="12747" xr:uid="{90056BA7-8027-4695-AFF1-5E8740D2E9CF}"/>
    <cellStyle name="Moneda 210 2 3" xfId="9827" xr:uid="{52DE8073-9A15-4FEF-A2A8-C9020B352943}"/>
    <cellStyle name="Moneda 210 3" xfId="3906" xr:uid="{BFEA42C8-9E4D-427A-A82A-A71DCD4B1C15}"/>
    <cellStyle name="Moneda 210 3 2" xfId="11474" xr:uid="{348109B0-18CC-44D5-A6EE-1983FA893827}"/>
    <cellStyle name="Moneda 210 4" xfId="8554" xr:uid="{F1632F82-DC70-474F-856F-7FF10CCB4BFE}"/>
    <cellStyle name="Moneda 211" xfId="818" xr:uid="{952D7E45-B707-44EC-8C51-08062C13533E}"/>
    <cellStyle name="Moneda 211 2" xfId="2222" xr:uid="{15201CA8-B25A-443E-93A0-383FD762401B}"/>
    <cellStyle name="Moneda 211 2 2" xfId="5181" xr:uid="{5EAB8364-62C8-4AC8-8F32-57525CF4D657}"/>
    <cellStyle name="Moneda 211 2 2 2" xfId="12749" xr:uid="{57DC2D88-14BA-4028-A231-47BBA2D7AA56}"/>
    <cellStyle name="Moneda 211 2 3" xfId="9829" xr:uid="{56C21F3A-47D3-47DB-8446-7D7872EA712C}"/>
    <cellStyle name="Moneda 211 3" xfId="3908" xr:uid="{DA819A75-C2EF-4396-B337-4E71B6128A2A}"/>
    <cellStyle name="Moneda 211 3 2" xfId="11476" xr:uid="{6BF1E818-9B32-41FF-957B-1657576F24D5}"/>
    <cellStyle name="Moneda 211 4" xfId="8556" xr:uid="{86747D20-5F24-40FC-9ABB-3E9AA4D43328}"/>
    <cellStyle name="Moneda 212" xfId="821" xr:uid="{D5E81D22-CF2E-4B96-B298-8C3F434FDA36}"/>
    <cellStyle name="Moneda 212 2" xfId="2224" xr:uid="{A08607D8-A5AF-48B8-9979-965B61F805E9}"/>
    <cellStyle name="Moneda 212 2 2" xfId="5183" xr:uid="{5458ADCB-4AC0-4658-9745-A164C73AE5EF}"/>
    <cellStyle name="Moneda 212 2 2 2" xfId="12751" xr:uid="{D8BAACF1-17CD-4840-A8BE-7798AB1687A3}"/>
    <cellStyle name="Moneda 212 2 3" xfId="9831" xr:uid="{72A2F46C-4ADE-4CE2-AF17-078ADF816436}"/>
    <cellStyle name="Moneda 212 3" xfId="3910" xr:uid="{F99A1553-632E-4701-950E-B788D962F68A}"/>
    <cellStyle name="Moneda 212 3 2" xfId="11478" xr:uid="{3550582A-8E42-4BCA-BFDE-2D6C4AEA4964}"/>
    <cellStyle name="Moneda 212 4" xfId="8558" xr:uid="{28D26933-5159-4AD6-8AF5-69ACCB3E6FDC}"/>
    <cellStyle name="Moneda 213" xfId="824" xr:uid="{F6C5B442-5454-4A88-B3EA-FDA19ED50293}"/>
    <cellStyle name="Moneda 213 2" xfId="2226" xr:uid="{39C4CF33-8DBD-4AE6-B747-4E7BF734391E}"/>
    <cellStyle name="Moneda 213 2 2" xfId="5185" xr:uid="{685BAEF4-0383-4930-A891-D7847C435EC1}"/>
    <cellStyle name="Moneda 213 2 2 2" xfId="12753" xr:uid="{E59F9E26-B59C-47CE-819D-C06A14847D0B}"/>
    <cellStyle name="Moneda 213 2 3" xfId="9833" xr:uid="{665C11D0-1450-4974-9515-95ADF0AD22C9}"/>
    <cellStyle name="Moneda 213 3" xfId="3912" xr:uid="{62E5D9DD-A3F7-4EA5-8A9A-83626F4C661E}"/>
    <cellStyle name="Moneda 213 3 2" xfId="11480" xr:uid="{DB2ADBD3-2FCB-4DD0-99FA-1EE75269BA65}"/>
    <cellStyle name="Moneda 213 4" xfId="8560" xr:uid="{045FF0F8-E1EF-42CE-9310-8B9999742573}"/>
    <cellStyle name="Moneda 214" xfId="827" xr:uid="{E67DECE3-F1AA-448E-AD55-47082DDDC6E4}"/>
    <cellStyle name="Moneda 214 2" xfId="2228" xr:uid="{AC6F4304-5BA3-4793-9486-2F7AC8B25075}"/>
    <cellStyle name="Moneda 214 2 2" xfId="5187" xr:uid="{34C54649-6461-46D8-9496-59E4A65ADFC5}"/>
    <cellStyle name="Moneda 214 2 2 2" xfId="12755" xr:uid="{D116462D-B6C1-44A0-825F-F8741F50DED1}"/>
    <cellStyle name="Moneda 214 2 3" xfId="9835" xr:uid="{D196194D-2839-40BD-9B4D-3AD2794202D6}"/>
    <cellStyle name="Moneda 214 3" xfId="3914" xr:uid="{942AF935-5D60-4F45-94E2-AC85CCFCC77D}"/>
    <cellStyle name="Moneda 214 3 2" xfId="11482" xr:uid="{4046382D-FD46-4977-8A36-74B06878C355}"/>
    <cellStyle name="Moneda 214 4" xfId="8562" xr:uid="{29C60F24-B891-4C1F-A8D6-55157D78FAD2}"/>
    <cellStyle name="Moneda 215" xfId="830" xr:uid="{BE25678D-1B8F-445C-BDEE-C80FC8E5E4C3}"/>
    <cellStyle name="Moneda 215 2" xfId="2230" xr:uid="{A2CD544D-6A81-4C75-9801-BB4DFA4CAACF}"/>
    <cellStyle name="Moneda 215 2 2" xfId="5189" xr:uid="{D708791C-FD07-4CAB-90B6-B93B6C585C54}"/>
    <cellStyle name="Moneda 215 2 2 2" xfId="12757" xr:uid="{5485C2A1-DB46-4819-B837-375743B8021C}"/>
    <cellStyle name="Moneda 215 2 3" xfId="9837" xr:uid="{4E9338AE-149C-4795-82CD-E8D6C5A08DF8}"/>
    <cellStyle name="Moneda 215 3" xfId="3916" xr:uid="{109958F5-3E45-40CE-9651-9F332421CE5C}"/>
    <cellStyle name="Moneda 215 3 2" xfId="11484" xr:uid="{6D3FA16A-8F37-4852-BCEA-A294A395095A}"/>
    <cellStyle name="Moneda 215 4" xfId="8564" xr:uid="{7A0467D9-2BDD-4734-8669-0C6499D636D6}"/>
    <cellStyle name="Moneda 216" xfId="833" xr:uid="{A858A703-D26A-4154-B615-A0F6D9A5EEFE}"/>
    <cellStyle name="Moneda 216 2" xfId="2232" xr:uid="{20343A7F-824A-47C6-B241-26DD4357764E}"/>
    <cellStyle name="Moneda 216 2 2" xfId="5191" xr:uid="{B8144EB8-C34D-4EF8-804D-8366F015C5DA}"/>
    <cellStyle name="Moneda 216 2 2 2" xfId="12759" xr:uid="{3B211F58-224D-4E37-8119-A9A71F5B137B}"/>
    <cellStyle name="Moneda 216 2 3" xfId="9839" xr:uid="{6C87A60B-99C5-4B1A-AB10-2A815061CEC4}"/>
    <cellStyle name="Moneda 216 3" xfId="3918" xr:uid="{534B08B7-B44E-47E3-A6E1-D4B47E5108E1}"/>
    <cellStyle name="Moneda 216 3 2" xfId="11486" xr:uid="{0DA8EAE1-AF31-4564-901B-C4792A67BA4F}"/>
    <cellStyle name="Moneda 216 4" xfId="8566" xr:uid="{1411DB44-C123-4D8B-BB3A-4AFEC14C35B9}"/>
    <cellStyle name="Moneda 217" xfId="836" xr:uid="{763ED671-70E8-4B6E-AD7B-2AC5EEBCB931}"/>
    <cellStyle name="Moneda 217 2" xfId="2234" xr:uid="{23B1FB09-252A-44A6-9B6C-7A31065308DB}"/>
    <cellStyle name="Moneda 217 2 2" xfId="5193" xr:uid="{98EE275B-5821-4972-84CA-483ED3C3591F}"/>
    <cellStyle name="Moneda 217 2 2 2" xfId="12761" xr:uid="{F15BAE11-E215-4ED8-80C9-85D4356C690D}"/>
    <cellStyle name="Moneda 217 2 3" xfId="9841" xr:uid="{8278DFE3-B65C-4144-8872-6C4181C68B32}"/>
    <cellStyle name="Moneda 217 3" xfId="3920" xr:uid="{F4F7E7F9-CE68-4A82-9948-7427FBEF8A67}"/>
    <cellStyle name="Moneda 217 3 2" xfId="11488" xr:uid="{A039CFCC-AD42-44FF-9A7B-17738EBB1F8C}"/>
    <cellStyle name="Moneda 217 4" xfId="8568" xr:uid="{C8E22AAF-B691-4DF4-822A-82DDE18BE1A6}"/>
    <cellStyle name="Moneda 218" xfId="839" xr:uid="{9DD521F6-47B9-455B-90AC-ADB9C515E791}"/>
    <cellStyle name="Moneda 218 2" xfId="2236" xr:uid="{119344D3-08E6-4D7F-BDCC-57EBE62125F2}"/>
    <cellStyle name="Moneda 218 2 2" xfId="5195" xr:uid="{43954EE2-E020-48B8-85B1-E487726C3CB6}"/>
    <cellStyle name="Moneda 218 2 2 2" xfId="12763" xr:uid="{5949283E-5F28-43C2-9370-11260122D805}"/>
    <cellStyle name="Moneda 218 2 3" xfId="9843" xr:uid="{72692033-1199-477F-A4B3-AA3AF5D59A3D}"/>
    <cellStyle name="Moneda 218 3" xfId="3922" xr:uid="{E23BA901-E510-41D2-911A-E78928208574}"/>
    <cellStyle name="Moneda 218 3 2" xfId="11490" xr:uid="{E023DF70-F523-4429-93E2-0A09983D00C1}"/>
    <cellStyle name="Moneda 218 4" xfId="8570" xr:uid="{53955506-7EE8-45E6-B341-6FDEB108E4B6}"/>
    <cellStyle name="Moneda 219" xfId="842" xr:uid="{CE2E7515-0A35-40D3-80C5-26C0A67F1179}"/>
    <cellStyle name="Moneda 219 2" xfId="2238" xr:uid="{A11BC5FC-D8EF-47E1-828C-79EEA0F8E4E6}"/>
    <cellStyle name="Moneda 219 2 2" xfId="5197" xr:uid="{C20DC6F9-5F22-4DEC-805F-3D0DFBEE0EFC}"/>
    <cellStyle name="Moneda 219 2 2 2" xfId="12765" xr:uid="{5C0E9D22-2090-4012-A103-A3B4AA7AA957}"/>
    <cellStyle name="Moneda 219 2 3" xfId="9845" xr:uid="{AE309D21-1CC2-4798-ABCE-7B48A09C0CB5}"/>
    <cellStyle name="Moneda 219 3" xfId="3924" xr:uid="{87D9C829-6BDB-4C3C-B96F-23764A5A788C}"/>
    <cellStyle name="Moneda 219 3 2" xfId="11492" xr:uid="{28C084F6-4BD7-4156-8550-75DB75F7265C}"/>
    <cellStyle name="Moneda 219 4" xfId="8572" xr:uid="{8F7280B1-0762-4AF7-B5B9-97B32B2394E9}"/>
    <cellStyle name="Moneda 22" xfId="250" xr:uid="{B7E95115-48BD-4584-BFC0-605EDE0ECACE}"/>
    <cellStyle name="Moneda 22 10" xfId="3213" xr:uid="{39E10C44-F1F7-4320-B903-33983E4AECBA}"/>
    <cellStyle name="Moneda 22 10 2" xfId="6217" xr:uid="{07FDF541-8332-4534-82F9-79CEE23E265C}"/>
    <cellStyle name="Moneda 22 10 2 2" xfId="13778" xr:uid="{7D6DC71E-9A98-4A3F-B66D-C60A6C54D648}"/>
    <cellStyle name="Moneda 22 10 3" xfId="7621" xr:uid="{C29414AB-15EC-4E42-844A-072740B7E9EC}"/>
    <cellStyle name="Moneda 22 10 3 2" xfId="15150" xr:uid="{817186A7-906A-4EF0-8512-B2F8AEB2C71A}"/>
    <cellStyle name="Moneda 22 10 4" xfId="10795" xr:uid="{F1C5CC3C-DCA1-4850-A7B6-62E04699F43C}"/>
    <cellStyle name="Moneda 22 11" xfId="3341" xr:uid="{902CD7E2-2690-46C5-AACE-8D8D0A51CE39}"/>
    <cellStyle name="Moneda 22 11 2" xfId="6343" xr:uid="{A2718F4F-02C0-4EC5-BB2B-6768848BA8DE}"/>
    <cellStyle name="Moneda 22 11 2 2" xfId="13904" xr:uid="{A4E81FE4-3B8B-4D0D-8C33-5AFC78BBBB47}"/>
    <cellStyle name="Moneda 22 11 3" xfId="7747" xr:uid="{7343A80F-EA28-4E62-B583-F33F508078AF}"/>
    <cellStyle name="Moneda 22 11 3 2" xfId="15276" xr:uid="{112EEE73-B6D3-4D84-A972-D920DDBDFA02}"/>
    <cellStyle name="Moneda 22 11 4" xfId="10921" xr:uid="{8247AC5D-3279-4FBD-8A10-57A46BEEFE3F}"/>
    <cellStyle name="Moneda 22 12" xfId="2340" xr:uid="{CB30D57F-2483-4F2F-A50A-59EB01096407}"/>
    <cellStyle name="Moneda 22 12 2" xfId="6479" xr:uid="{9DB211C0-9370-49A2-9E9E-D8ACE6F47EBE}"/>
    <cellStyle name="Moneda 22 12 2 2" xfId="14035" xr:uid="{3EBE134A-A0FF-41C5-B1C4-5AB7AF2AA1AF}"/>
    <cellStyle name="Moneda 22 12 3" xfId="7878" xr:uid="{EC170A6C-3877-45D9-A90D-D36F5386AF90}"/>
    <cellStyle name="Moneda 22 12 3 2" xfId="15407" xr:uid="{E7FFCEC2-A6D3-4CD0-A7D7-75C5D5C3D22B}"/>
    <cellStyle name="Moneda 22 12 4" xfId="9936" xr:uid="{5ED05C00-7993-48A6-B182-54679D12C25A}"/>
    <cellStyle name="Moneda 22 13" xfId="3530" xr:uid="{CC8CCB8C-314B-4A99-A523-D801A1794E2D}"/>
    <cellStyle name="Moneda 22 13 2" xfId="11098" xr:uid="{FC51844C-95D8-4C5C-B50A-4988D0AD547A}"/>
    <cellStyle name="Moneda 22 14" xfId="5358" xr:uid="{98CFE9C7-7402-4DC1-BF13-ABCBF318367A}"/>
    <cellStyle name="Moneda 22 14 2" xfId="12919" xr:uid="{C131B5A1-1358-4369-A2F3-4596C6DD6FEE}"/>
    <cellStyle name="Moneda 22 15" xfId="6762" xr:uid="{EC033F81-4F3A-408B-A6BB-694D9F5AAAEE}"/>
    <cellStyle name="Moneda 22 15 2" xfId="14291" xr:uid="{EA701091-FB38-4041-B062-955634118FED}"/>
    <cellStyle name="Moneda 22 16" xfId="8178" xr:uid="{2CB15BF4-CE49-4177-A228-DD1E4195D7BC}"/>
    <cellStyle name="Moneda 22 2" xfId="1101" xr:uid="{80BBC85D-66C0-4AC1-87ED-D7D928223E7F}"/>
    <cellStyle name="Moneda 22 2 10" xfId="3371" xr:uid="{2BDFFD60-67B0-4D99-840C-DC3F3B8CF6BA}"/>
    <cellStyle name="Moneda 22 2 10 2" xfId="6373" xr:uid="{1AB08A51-5EA8-4559-8B24-C35C2351CE58}"/>
    <cellStyle name="Moneda 22 2 10 2 2" xfId="13934" xr:uid="{E56C8318-5628-4716-8736-EEB132873AD6}"/>
    <cellStyle name="Moneda 22 2 10 3" xfId="7777" xr:uid="{D575FF44-55CB-41E6-BDA3-D0939285FAA6}"/>
    <cellStyle name="Moneda 22 2 10 3 2" xfId="15306" xr:uid="{12BC5BE6-CE2B-4DE2-A0AE-16B568C8461D}"/>
    <cellStyle name="Moneda 22 2 10 4" xfId="10951" xr:uid="{40BA5CD6-AEBD-4796-BE1F-A061B46E45E6}"/>
    <cellStyle name="Moneda 22 2 11" xfId="2376" xr:uid="{747C0A3A-CAB1-45F7-A352-87D2446A7003}"/>
    <cellStyle name="Moneda 22 2 11 2" xfId="6509" xr:uid="{E0808CA0-0098-4207-9469-F9DB6BD4BC14}"/>
    <cellStyle name="Moneda 22 2 11 2 2" xfId="14065" xr:uid="{F5999A3A-7B43-4468-9E3A-8EDF977BCB07}"/>
    <cellStyle name="Moneda 22 2 11 3" xfId="7908" xr:uid="{0BB8C50E-EA04-41A0-AA47-6D63F7F0BBD9}"/>
    <cellStyle name="Moneda 22 2 11 3 2" xfId="15437" xr:uid="{8CB28005-DB01-46C2-AEB3-EC6530B636E6}"/>
    <cellStyle name="Moneda 22 2 11 4" xfId="9966" xr:uid="{53228BD2-CF13-46DC-8036-3DF70510136F}"/>
    <cellStyle name="Moneda 22 2 12" xfId="4061" xr:uid="{6E066837-A7E4-4111-842F-6C9594B3D844}"/>
    <cellStyle name="Moneda 22 2 12 2" xfId="11629" xr:uid="{B109DC68-7035-40BE-A5E0-B150AD773F48}"/>
    <cellStyle name="Moneda 22 2 13" xfId="5388" xr:uid="{444709FC-5705-47ED-BCBE-5A5E15CAD919}"/>
    <cellStyle name="Moneda 22 2 13 2" xfId="12949" xr:uid="{5F359055-4B9B-47E7-85FD-CCF4E357EA85}"/>
    <cellStyle name="Moneda 22 2 14" xfId="6792" xr:uid="{F5D5DAC3-2AB5-4F79-B826-F470F76CC390}"/>
    <cellStyle name="Moneda 22 2 14 2" xfId="14321" xr:uid="{CB88D93C-2792-4853-870B-4B4BA18AC457}"/>
    <cellStyle name="Moneda 22 2 15" xfId="8709" xr:uid="{9227F42C-38B5-4116-912B-47195E9C950D}"/>
    <cellStyle name="Moneda 22 2 2" xfId="2436" xr:uid="{E46B83A2-FED6-478F-9FB5-71DBFE1688C4}"/>
    <cellStyle name="Moneda 22 2 2 10" xfId="6567" xr:uid="{573D95B5-240F-4EF7-99B2-FE0F672F0DDA}"/>
    <cellStyle name="Moneda 22 2 2 10 2" xfId="7966" xr:uid="{FF46E25B-378B-41A4-A822-3683736E1EE3}"/>
    <cellStyle name="Moneda 22 2 2 10 2 2" xfId="15495" xr:uid="{DB275F82-32B8-475E-B6E1-CF67C2D361FE}"/>
    <cellStyle name="Moneda 22 2 2 10 3" xfId="14123" xr:uid="{7F2ED73B-D944-4CED-BEDA-2C286A321B39}"/>
    <cellStyle name="Moneda 22 2 2 11" xfId="5446" xr:uid="{07F04FB3-C24D-4346-ABB5-F5C97A179A07}"/>
    <cellStyle name="Moneda 22 2 2 11 2" xfId="13007" xr:uid="{BD15CE9A-A019-4CCC-9D8F-23AE19F8C6C6}"/>
    <cellStyle name="Moneda 22 2 2 12" xfId="6850" xr:uid="{46B079F6-5605-4B4D-8B33-C5803B0AACA4}"/>
    <cellStyle name="Moneda 22 2 2 12 2" xfId="14379" xr:uid="{6DA57FA9-9084-4F3D-BB0B-A9D69F67728F}"/>
    <cellStyle name="Moneda 22 2 2 13" xfId="10024" xr:uid="{452330DE-F215-4B06-B9C0-D74AAEEE9699}"/>
    <cellStyle name="Moneda 22 2 2 2" xfId="2560" xr:uid="{ECB966F1-04B5-4201-B732-07CEFDE8B80A}"/>
    <cellStyle name="Moneda 22 2 2 2 2" xfId="6702" xr:uid="{306291FF-5628-42B3-9595-243331CF1ED3}"/>
    <cellStyle name="Moneda 22 2 2 2 2 2" xfId="8088" xr:uid="{E92ACA2A-ACCA-45C5-BA7E-C2F0F0168EA2}"/>
    <cellStyle name="Moneda 22 2 2 2 2 2 2" xfId="15617" xr:uid="{E32605E5-1C04-4640-955B-796D4873CB5D}"/>
    <cellStyle name="Moneda 22 2 2 2 2 3" xfId="14245" xr:uid="{1DABE57C-2BBF-46D9-8EC7-7F3EBB7F08A5}"/>
    <cellStyle name="Moneda 22 2 2 2 3" xfId="5566" xr:uid="{AD708677-6128-4F93-AD4C-FB92FDB73450}"/>
    <cellStyle name="Moneda 22 2 2 2 3 2" xfId="13127" xr:uid="{09AC699D-0C2D-406C-B01C-31AE828C7C24}"/>
    <cellStyle name="Moneda 22 2 2 2 4" xfId="6970" xr:uid="{A8151C21-B0AB-4B5E-AAD8-01D99192FF26}"/>
    <cellStyle name="Moneda 22 2 2 2 4 2" xfId="14499" xr:uid="{82B6659B-E8C5-4CBB-B8EE-88BAAF841801}"/>
    <cellStyle name="Moneda 22 2 2 2 5" xfId="10144" xr:uid="{23204A7D-4E86-4B68-810F-B42FFBA89728}"/>
    <cellStyle name="Moneda 22 2 2 3" xfId="2681" xr:uid="{175D451F-D93D-42A3-A762-2C3FC9B14842}"/>
    <cellStyle name="Moneda 22 2 2 3 2" xfId="5686" xr:uid="{2A24BD83-6DB3-4419-9CCF-5B6AEC866265}"/>
    <cellStyle name="Moneda 22 2 2 3 2 2" xfId="13247" xr:uid="{97006224-AFBA-462C-AECA-86CE85EAE45D}"/>
    <cellStyle name="Moneda 22 2 2 3 3" xfId="7090" xr:uid="{2164ECEF-4A28-40F7-B262-DFACC625E330}"/>
    <cellStyle name="Moneda 22 2 2 3 3 2" xfId="14619" xr:uid="{A5877439-7968-42E2-8DB8-DC07795243FA}"/>
    <cellStyle name="Moneda 22 2 2 3 4" xfId="10264" xr:uid="{E82C887E-1F9B-4306-BDB3-49F7A058A643}"/>
    <cellStyle name="Moneda 22 2 2 4" xfId="2803" xr:uid="{D504A723-6BCA-47C5-BED2-BBDC092E0472}"/>
    <cellStyle name="Moneda 22 2 2 4 2" xfId="5808" xr:uid="{A25735CF-81AF-4A25-A895-A05DA47A8730}"/>
    <cellStyle name="Moneda 22 2 2 4 2 2" xfId="13369" xr:uid="{D7466B44-692D-44C0-92AB-FF074714BFC1}"/>
    <cellStyle name="Moneda 22 2 2 4 3" xfId="7212" xr:uid="{D10438B0-FBCE-43E0-B349-7B5F3F2BE1DF}"/>
    <cellStyle name="Moneda 22 2 2 4 3 2" xfId="14741" xr:uid="{26CC2648-5E9A-499E-A9FA-680415DC522A}"/>
    <cellStyle name="Moneda 22 2 2 4 4" xfId="10386" xr:uid="{5F60E7E2-C756-46C8-9D9C-9D4A8A963A0B}"/>
    <cellStyle name="Moneda 22 2 2 5" xfId="2928" xr:uid="{69D61061-BACD-436E-A647-4FE097DA5860}"/>
    <cellStyle name="Moneda 22 2 2 5 2" xfId="5932" xr:uid="{197FC1A3-961A-4609-8C20-039237B293CB}"/>
    <cellStyle name="Moneda 22 2 2 5 2 2" xfId="13493" xr:uid="{F4262336-FD55-4074-95ED-16644D107A3E}"/>
    <cellStyle name="Moneda 22 2 2 5 3" xfId="7336" xr:uid="{30E01DDB-8961-44C3-81C4-96AF7D32E5A8}"/>
    <cellStyle name="Moneda 22 2 2 5 3 2" xfId="14865" xr:uid="{0ADBD4FB-7852-44F4-81DC-EC3CD7568286}"/>
    <cellStyle name="Moneda 22 2 2 5 4" xfId="10510" xr:uid="{625E22FF-9D10-4CA7-9C82-B230A2E5BFA0}"/>
    <cellStyle name="Moneda 22 2 2 6" xfId="3052" xr:uid="{F42A2A5D-7368-4063-A4E8-BFB5C68804D4}"/>
    <cellStyle name="Moneda 22 2 2 6 2" xfId="6056" xr:uid="{6FA1B27A-867E-45B4-A14B-1E0A72F78D0F}"/>
    <cellStyle name="Moneda 22 2 2 6 2 2" xfId="13617" xr:uid="{82867729-4BC9-4170-973C-9186FB9952C5}"/>
    <cellStyle name="Moneda 22 2 2 6 3" xfId="7460" xr:uid="{D2A986D7-5EB0-433A-B06D-D2812607332C}"/>
    <cellStyle name="Moneda 22 2 2 6 3 2" xfId="14989" xr:uid="{85BD37B8-B144-4624-8CD1-3C323D7172AF}"/>
    <cellStyle name="Moneda 22 2 2 6 4" xfId="10634" xr:uid="{5DF335C1-BEB6-4B9F-9EB3-B5B3C9CD44C7}"/>
    <cellStyle name="Moneda 22 2 2 7" xfId="3176" xr:uid="{34243DD7-54ED-4714-86DD-79C390D5D821}"/>
    <cellStyle name="Moneda 22 2 2 7 2" xfId="6180" xr:uid="{013CCFBB-8BF8-49E7-9AB5-7E924974D9C6}"/>
    <cellStyle name="Moneda 22 2 2 7 2 2" xfId="13741" xr:uid="{7FAEDF5A-6EEB-43E6-8987-60C8D83B4FC9}"/>
    <cellStyle name="Moneda 22 2 2 7 3" xfId="7584" xr:uid="{B3153CCE-31C4-45F8-A57D-9ED10E78E66E}"/>
    <cellStyle name="Moneda 22 2 2 7 3 2" xfId="15113" xr:uid="{899588DC-789E-48AE-AA96-5DD8B2EA0A8F}"/>
    <cellStyle name="Moneda 22 2 2 7 4" xfId="10758" xr:uid="{E1101A77-7268-489D-B1B3-E7CD114CCE20}"/>
    <cellStyle name="Moneda 22 2 2 8" xfId="3301" xr:uid="{2D33126E-D622-41A9-999E-71F09F463EB2}"/>
    <cellStyle name="Moneda 22 2 2 8 2" xfId="6305" xr:uid="{91460F19-660D-444A-97A9-215E1FC57315}"/>
    <cellStyle name="Moneda 22 2 2 8 2 2" xfId="13866" xr:uid="{4E9E583D-A058-454A-95AB-70786F1F2A61}"/>
    <cellStyle name="Moneda 22 2 2 8 3" xfId="7709" xr:uid="{65F11562-70BF-4BBF-A680-9B748BC1523F}"/>
    <cellStyle name="Moneda 22 2 2 8 3 2" xfId="15238" xr:uid="{01E5B2E1-21C7-4948-99B7-AFC2A65EC9C5}"/>
    <cellStyle name="Moneda 22 2 2 8 4" xfId="10883" xr:uid="{DAC0BB41-0166-40BE-A640-E7D5D4AD4133}"/>
    <cellStyle name="Moneda 22 2 2 9" xfId="3429" xr:uid="{35E0676C-2930-4EC5-BBD0-ACA674F08BD4}"/>
    <cellStyle name="Moneda 22 2 2 9 2" xfId="6431" xr:uid="{D22CF494-2BFB-46C5-8CDC-B0DA3859E583}"/>
    <cellStyle name="Moneda 22 2 2 9 2 2" xfId="13992" xr:uid="{83CD91C5-2A20-4534-B21F-303C71A4087E}"/>
    <cellStyle name="Moneda 22 2 2 9 3" xfId="7835" xr:uid="{A2AD1460-1CBF-4030-9B43-99700198BE64}"/>
    <cellStyle name="Moneda 22 2 2 9 3 2" xfId="15364" xr:uid="{E8747DCD-942C-4950-870D-A122A5BEBC9F}"/>
    <cellStyle name="Moneda 22 2 2 9 4" xfId="11009" xr:uid="{0C3DAC00-881F-4E38-B5B3-B33669F09925}"/>
    <cellStyle name="Moneda 22 2 3" xfId="2502" xr:uid="{7D0AEE35-7A2F-4F5C-BE5F-28C8C9DF79CD}"/>
    <cellStyle name="Moneda 22 2 3 2" xfId="6644" xr:uid="{499C3463-400D-44BC-B62A-8143556D408F}"/>
    <cellStyle name="Moneda 22 2 3 2 2" xfId="8030" xr:uid="{3145FE5C-9717-47E1-B653-3F25614EC80C}"/>
    <cellStyle name="Moneda 22 2 3 2 2 2" xfId="15559" xr:uid="{6C308974-898C-4A4E-97D8-96713B07D1C0}"/>
    <cellStyle name="Moneda 22 2 3 2 3" xfId="14187" xr:uid="{37B501EE-806E-45B2-A3DF-85CBDA1BC94F}"/>
    <cellStyle name="Moneda 22 2 3 3" xfId="5508" xr:uid="{7321819D-A6E8-4361-9EE6-7D6B6D97E1F5}"/>
    <cellStyle name="Moneda 22 2 3 3 2" xfId="13069" xr:uid="{4535A7B3-8C33-477A-87CF-622BC48B55B9}"/>
    <cellStyle name="Moneda 22 2 3 4" xfId="6912" xr:uid="{07F2B9F3-9100-42EF-AB3A-8EA110E9F6B7}"/>
    <cellStyle name="Moneda 22 2 3 4 2" xfId="14441" xr:uid="{41A973C4-C97A-4594-9664-34541B0DAF61}"/>
    <cellStyle name="Moneda 22 2 3 5" xfId="10086" xr:uid="{81337848-BF9E-4003-B7E5-45263F8C9DEA}"/>
    <cellStyle name="Moneda 22 2 4" xfId="2623" xr:uid="{371258B9-5682-4968-A36C-BC15C73E331D}"/>
    <cellStyle name="Moneda 22 2 4 2" xfId="5628" xr:uid="{A5E1F936-F07A-4548-857F-E7DC31B7D23A}"/>
    <cellStyle name="Moneda 22 2 4 2 2" xfId="13189" xr:uid="{AE576A2A-AF03-4F68-B6A3-F53F63512BA1}"/>
    <cellStyle name="Moneda 22 2 4 3" xfId="7032" xr:uid="{7A270E67-B63F-4E5C-99D5-C5290A2D7FC0}"/>
    <cellStyle name="Moneda 22 2 4 3 2" xfId="14561" xr:uid="{2D69210C-B9DD-4684-9D3E-1353909E6FE8}"/>
    <cellStyle name="Moneda 22 2 4 4" xfId="10206" xr:uid="{9005C2E2-700D-454D-8424-166BC0F93FEB}"/>
    <cellStyle name="Moneda 22 2 5" xfId="2745" xr:uid="{05FE902E-72C9-4493-BDC1-A1B2EED82260}"/>
    <cellStyle name="Moneda 22 2 5 2" xfId="5750" xr:uid="{64B5CAB9-DFB4-4D6D-9CF8-80A296B6A56C}"/>
    <cellStyle name="Moneda 22 2 5 2 2" xfId="13311" xr:uid="{20599C62-C9A1-469D-BC33-711620BD3DB9}"/>
    <cellStyle name="Moneda 22 2 5 3" xfId="7154" xr:uid="{F60BD970-2665-4C77-AC61-6EDFA4B267CD}"/>
    <cellStyle name="Moneda 22 2 5 3 2" xfId="14683" xr:uid="{B040F46E-E7F5-4A6C-9670-1CF903ED3298}"/>
    <cellStyle name="Moneda 22 2 5 4" xfId="10328" xr:uid="{8BA10EAB-4CF4-48F1-B551-F8F4F6D27E88}"/>
    <cellStyle name="Moneda 22 2 6" xfId="2870" xr:uid="{D19E949E-B621-4C4D-9105-A84F737E054C}"/>
    <cellStyle name="Moneda 22 2 6 2" xfId="5874" xr:uid="{18E8BC0E-A614-4E82-8B0C-0EAC52FB5937}"/>
    <cellStyle name="Moneda 22 2 6 2 2" xfId="13435" xr:uid="{8486CFE7-CD16-4458-93C9-55C2218DA2BA}"/>
    <cellStyle name="Moneda 22 2 6 3" xfId="7278" xr:uid="{9BD086E3-5D53-4321-9FA5-1EBD9ECA33BE}"/>
    <cellStyle name="Moneda 22 2 6 3 2" xfId="14807" xr:uid="{E9F5B060-BA51-498B-8408-8333E9C532F4}"/>
    <cellStyle name="Moneda 22 2 6 4" xfId="10452" xr:uid="{568D24C5-2EA1-4F9D-A481-972211833EC1}"/>
    <cellStyle name="Moneda 22 2 7" xfId="2994" xr:uid="{53B5B7E2-A227-429D-8A1B-73C640B138B1}"/>
    <cellStyle name="Moneda 22 2 7 2" xfId="5998" xr:uid="{9FF9FCB0-A8CB-47D5-8117-A12C85EA2BF5}"/>
    <cellStyle name="Moneda 22 2 7 2 2" xfId="13559" xr:uid="{42A3763C-70A6-413B-8D45-01A344B9BDFF}"/>
    <cellStyle name="Moneda 22 2 7 3" xfId="7402" xr:uid="{B0178435-B7B6-4617-ADBB-706E8B09DB28}"/>
    <cellStyle name="Moneda 22 2 7 3 2" xfId="14931" xr:uid="{B05CE898-6577-488D-9732-044C2E6E360B}"/>
    <cellStyle name="Moneda 22 2 7 4" xfId="10576" xr:uid="{AC11C67D-423A-4E9B-A465-E0A7553EF618}"/>
    <cellStyle name="Moneda 22 2 8" xfId="3118" xr:uid="{5D04E80E-DD5C-4F63-B1C0-AD75D1E05241}"/>
    <cellStyle name="Moneda 22 2 8 2" xfId="6122" xr:uid="{941D76C3-144E-4394-91CA-D315BCABE801}"/>
    <cellStyle name="Moneda 22 2 8 2 2" xfId="13683" xr:uid="{0E6698A3-EC9E-41BB-9F80-C32716E58FBB}"/>
    <cellStyle name="Moneda 22 2 8 3" xfId="7526" xr:uid="{AADF4B54-BAE0-4810-8AD9-2D745B3A9E98}"/>
    <cellStyle name="Moneda 22 2 8 3 2" xfId="15055" xr:uid="{9ED5DA9A-6A19-40C4-9A76-E0AF2151818E}"/>
    <cellStyle name="Moneda 22 2 8 4" xfId="10700" xr:uid="{BAC59904-5C39-409D-BB03-941870ECA7C3}"/>
    <cellStyle name="Moneda 22 2 9" xfId="3243" xr:uid="{F1A9173A-A991-45F3-9F98-CB6AB3DD93EE}"/>
    <cellStyle name="Moneda 22 2 9 2" xfId="6247" xr:uid="{1625E7E8-3221-4984-AB5A-65CD00729855}"/>
    <cellStyle name="Moneda 22 2 9 2 2" xfId="13808" xr:uid="{47684A89-7DE5-46F9-9885-AFA51A40C3C0}"/>
    <cellStyle name="Moneda 22 2 9 3" xfId="7651" xr:uid="{64A9DE36-A427-4048-9519-68DD318A6704}"/>
    <cellStyle name="Moneda 22 2 9 3 2" xfId="15180" xr:uid="{C634F341-18FB-4F17-B38A-5D05BF506CA8}"/>
    <cellStyle name="Moneda 22 2 9 4" xfId="10825" xr:uid="{204606EB-44CB-47C8-A61E-34C0469376C1}"/>
    <cellStyle name="Moneda 22 3" xfId="1465" xr:uid="{417C5ED2-EC39-4D65-B150-9C6F1113793F}"/>
    <cellStyle name="Moneda 22 3 10" xfId="2406" xr:uid="{522902C6-FAAA-43A3-9B68-5D3CFBC06353}"/>
    <cellStyle name="Moneda 22 3 10 2" xfId="6537" xr:uid="{F14307D0-7B2C-4C51-9E11-8F54DF47E037}"/>
    <cellStyle name="Moneda 22 3 10 2 2" xfId="14093" xr:uid="{26293E1A-69BF-41B5-85A7-B5B971228291}"/>
    <cellStyle name="Moneda 22 3 10 3" xfId="7936" xr:uid="{E42EAEE9-C0CA-49F3-9A3A-6FAD8E5A5025}"/>
    <cellStyle name="Moneda 22 3 10 3 2" xfId="15465" xr:uid="{E9E41F0D-207E-418B-9014-2C5EA161277D}"/>
    <cellStyle name="Moneda 22 3 10 4" xfId="9994" xr:uid="{1D641084-F27E-4B2A-9A3F-416390124D34}"/>
    <cellStyle name="Moneda 22 3 11" xfId="4425" xr:uid="{4C386649-EEB9-48BC-A5B3-72C93F4B68F3}"/>
    <cellStyle name="Moneda 22 3 11 2" xfId="11993" xr:uid="{380567CE-A12F-4568-9EC6-874F2D6677E7}"/>
    <cellStyle name="Moneda 22 3 12" xfId="5416" xr:uid="{08DA3FBA-461D-47C7-BB2C-C7DCC83F7D23}"/>
    <cellStyle name="Moneda 22 3 12 2" xfId="12977" xr:uid="{3B4911E8-952C-43CC-BA12-56ED38D50617}"/>
    <cellStyle name="Moneda 22 3 13" xfId="6820" xr:uid="{D764E592-1676-4F2F-9BF0-E17EA7EE79D1}"/>
    <cellStyle name="Moneda 22 3 13 2" xfId="14349" xr:uid="{C73A1E4E-0CBB-468C-B2A4-EB0B8F817ED3}"/>
    <cellStyle name="Moneda 22 3 14" xfId="9073" xr:uid="{886AFF8E-C67E-465E-BD2E-3429E69E3002}"/>
    <cellStyle name="Moneda 22 3 2" xfId="2530" xr:uid="{1CBF78CC-B5C5-423C-9B1D-07140A7FC335}"/>
    <cellStyle name="Moneda 22 3 2 2" xfId="6672" xr:uid="{EF4E562F-7F0B-4DFF-AD5E-CFE17BBAB52B}"/>
    <cellStyle name="Moneda 22 3 2 2 2" xfId="8058" xr:uid="{BDE755AE-790E-4FB3-B1F4-923AF4F9897A}"/>
    <cellStyle name="Moneda 22 3 2 2 2 2" xfId="15587" xr:uid="{1AE93DD4-CA6C-4F0A-8513-5ED20162A916}"/>
    <cellStyle name="Moneda 22 3 2 2 3" xfId="14215" xr:uid="{3608F12F-5FF7-4462-BCD8-D9284DCCAF99}"/>
    <cellStyle name="Moneda 22 3 2 3" xfId="5536" xr:uid="{2707CE56-BA75-414E-8D6C-27EE15BF6C25}"/>
    <cellStyle name="Moneda 22 3 2 3 2" xfId="13097" xr:uid="{5108914C-D3F6-4933-B67E-A268399DCEED}"/>
    <cellStyle name="Moneda 22 3 2 4" xfId="6940" xr:uid="{E9A390D0-A1BF-4B91-9E6E-91287C60DD07}"/>
    <cellStyle name="Moneda 22 3 2 4 2" xfId="14469" xr:uid="{E09BFA93-92CA-4ABA-8EAB-220192DEF0A1}"/>
    <cellStyle name="Moneda 22 3 2 5" xfId="10114" xr:uid="{2A60C284-146F-4537-865E-B6053CFC9611}"/>
    <cellStyle name="Moneda 22 3 3" xfId="2651" xr:uid="{71559466-A971-45C3-A888-BFDF3DE02552}"/>
    <cellStyle name="Moneda 22 3 3 2" xfId="5656" xr:uid="{6AE0411E-231B-4BAD-9CD4-514EB542B763}"/>
    <cellStyle name="Moneda 22 3 3 2 2" xfId="13217" xr:uid="{4BA966F5-6AAA-4A77-B25D-76D0FA8315D9}"/>
    <cellStyle name="Moneda 22 3 3 3" xfId="7060" xr:uid="{C56D15C5-450A-48EC-B87E-B0AFBE582FB2}"/>
    <cellStyle name="Moneda 22 3 3 3 2" xfId="14589" xr:uid="{F4AEBC47-747D-46F6-A4F0-5EF1ED87283C}"/>
    <cellStyle name="Moneda 22 3 3 4" xfId="10234" xr:uid="{4A256726-AB4C-44A0-9CC8-7B6ECA4C6E58}"/>
    <cellStyle name="Moneda 22 3 4" xfId="2773" xr:uid="{89785C7C-E8C4-4F73-BC30-7AE45006F4B6}"/>
    <cellStyle name="Moneda 22 3 4 2" xfId="5778" xr:uid="{5FBF385E-13A2-4BF8-B07D-11F139A85EC9}"/>
    <cellStyle name="Moneda 22 3 4 2 2" xfId="13339" xr:uid="{E73B3EE4-CB6A-4653-BE6B-160FCAE519CB}"/>
    <cellStyle name="Moneda 22 3 4 3" xfId="7182" xr:uid="{BCC96EBF-F4BC-4A48-B190-C0A718979F34}"/>
    <cellStyle name="Moneda 22 3 4 3 2" xfId="14711" xr:uid="{3BBA1C2D-9D3C-4B12-A8C8-84EF7EE5866E}"/>
    <cellStyle name="Moneda 22 3 4 4" xfId="10356" xr:uid="{5D583F83-0BD7-4ED9-A6A8-731DC97659A0}"/>
    <cellStyle name="Moneda 22 3 5" xfId="2898" xr:uid="{DC92587A-B7AB-4764-9FDE-80DB7BF30262}"/>
    <cellStyle name="Moneda 22 3 5 2" xfId="5902" xr:uid="{EECE273C-77AD-42E2-9482-A05326013ACA}"/>
    <cellStyle name="Moneda 22 3 5 2 2" xfId="13463" xr:uid="{AB2E32C0-20EE-4F08-9DB3-C6F9CA2414D7}"/>
    <cellStyle name="Moneda 22 3 5 3" xfId="7306" xr:uid="{81FB17D6-32BF-482C-B0E6-3C4D1D946273}"/>
    <cellStyle name="Moneda 22 3 5 3 2" xfId="14835" xr:uid="{DAB29DF0-E2B7-40C4-957C-8EA0E77D2EC8}"/>
    <cellStyle name="Moneda 22 3 5 4" xfId="10480" xr:uid="{1CC6738A-09EB-4D0A-A20A-BFEB5C6705B3}"/>
    <cellStyle name="Moneda 22 3 6" xfId="3022" xr:uid="{6E4BAE60-5CF7-4595-A0A5-6C141AEB0954}"/>
    <cellStyle name="Moneda 22 3 6 2" xfId="6026" xr:uid="{79301E3C-4058-409D-9875-E8E72430EB09}"/>
    <cellStyle name="Moneda 22 3 6 2 2" xfId="13587" xr:uid="{B70D93FD-D555-4FF8-AD17-0772CB20D236}"/>
    <cellStyle name="Moneda 22 3 6 3" xfId="7430" xr:uid="{934EAD76-99E0-4776-BD92-6845C304487A}"/>
    <cellStyle name="Moneda 22 3 6 3 2" xfId="14959" xr:uid="{FB50E6CE-B49A-4FDA-9AF4-775F0B01CD1E}"/>
    <cellStyle name="Moneda 22 3 6 4" xfId="10604" xr:uid="{8E164B7C-11D7-46A4-AADA-C762A0453506}"/>
    <cellStyle name="Moneda 22 3 7" xfId="3146" xr:uid="{FB1CF2EC-F710-4EF8-B94F-6D149426619B}"/>
    <cellStyle name="Moneda 22 3 7 2" xfId="6150" xr:uid="{F448A487-BC54-4D0F-842F-B9AFA8EB481E}"/>
    <cellStyle name="Moneda 22 3 7 2 2" xfId="13711" xr:uid="{3F80E283-FA30-4A7C-BFFE-12A6810B9E9F}"/>
    <cellStyle name="Moneda 22 3 7 3" xfId="7554" xr:uid="{9111FF1F-2687-4594-B9E4-4DF419C6CDFF}"/>
    <cellStyle name="Moneda 22 3 7 3 2" xfId="15083" xr:uid="{3A859879-4292-4568-8595-4A0F44C26FA1}"/>
    <cellStyle name="Moneda 22 3 7 4" xfId="10728" xr:uid="{E43646C3-54B4-4F2E-8CDB-994A22E31C2A}"/>
    <cellStyle name="Moneda 22 3 8" xfId="3271" xr:uid="{1FEF26A0-FB72-4910-8426-0D2D0C1137A8}"/>
    <cellStyle name="Moneda 22 3 8 2" xfId="6275" xr:uid="{3FA925C8-50AC-4EE2-9AA0-6449123B650C}"/>
    <cellStyle name="Moneda 22 3 8 2 2" xfId="13836" xr:uid="{94767E77-8426-4A25-918D-245DC83BBC1E}"/>
    <cellStyle name="Moneda 22 3 8 3" xfId="7679" xr:uid="{455DF9FC-3A62-48A8-BFAC-9243428DDA99}"/>
    <cellStyle name="Moneda 22 3 8 3 2" xfId="15208" xr:uid="{E62AAEFE-E34F-47B4-A090-B6DB85E36D38}"/>
    <cellStyle name="Moneda 22 3 8 4" xfId="10853" xr:uid="{1C16054C-2190-482A-BA24-828BD19E2A27}"/>
    <cellStyle name="Moneda 22 3 9" xfId="3399" xr:uid="{59F9B169-501A-42B6-A30A-0E47F7F77178}"/>
    <cellStyle name="Moneda 22 3 9 2" xfId="6401" xr:uid="{B34258B5-04E2-49F9-83B3-3DC572242B2A}"/>
    <cellStyle name="Moneda 22 3 9 2 2" xfId="13962" xr:uid="{FBD21BDD-5C14-40D3-BB98-B8E6C96C1A93}"/>
    <cellStyle name="Moneda 22 3 9 3" xfId="7805" xr:uid="{67C40AC4-AF48-428A-8A27-DC0453756837}"/>
    <cellStyle name="Moneda 22 3 9 3 2" xfId="15334" xr:uid="{622598FC-13EB-4FC4-A013-16D9EBE79220}"/>
    <cellStyle name="Moneda 22 3 9 4" xfId="10979" xr:uid="{E503B9A0-795D-4902-ABFD-A369DA8CA26D}"/>
    <cellStyle name="Moneda 22 4" xfId="1844" xr:uid="{C538F440-4191-40AB-BCBF-49B19D44712E}"/>
    <cellStyle name="Moneda 22 4 2" xfId="2471" xr:uid="{CF18ABB4-F70B-4BD9-A95E-AECEDCF7623D}"/>
    <cellStyle name="Moneda 22 4 2 2" xfId="6614" xr:uid="{1B557FD4-0358-487D-A8CF-C5F881CF4678}"/>
    <cellStyle name="Moneda 22 4 2 2 2" xfId="14157" xr:uid="{38932506-7EBF-4C8F-92EB-983FDA2EDD51}"/>
    <cellStyle name="Moneda 22 4 2 3" xfId="8000" xr:uid="{9A2C8B7E-660B-4734-9286-A9856F9E16FF}"/>
    <cellStyle name="Moneda 22 4 2 3 2" xfId="15529" xr:uid="{7E4323EE-7C68-40EE-9EDD-6E4B185DBA45}"/>
    <cellStyle name="Moneda 22 4 2 4" xfId="10055" xr:uid="{3D7D3632-CC41-478D-94AB-1A4458ECCF37}"/>
    <cellStyle name="Moneda 22 4 3" xfId="4803" xr:uid="{A9A21259-FE8F-406F-AF0F-6438F871AAEE}"/>
    <cellStyle name="Moneda 22 4 3 2" xfId="12371" xr:uid="{2B5B1E9B-DF61-41A7-94C7-4A1B75EBFC6E}"/>
    <cellStyle name="Moneda 22 4 4" xfId="5477" xr:uid="{1E21CBD1-8BDB-4A0A-BE6E-D7FF4023FEBC}"/>
    <cellStyle name="Moneda 22 4 4 2" xfId="13038" xr:uid="{9E4538E5-9198-477E-91AD-075D58A78AF1}"/>
    <cellStyle name="Moneda 22 4 5" xfId="6881" xr:uid="{0C92355A-06AB-42EB-B476-5BF67B05CB0D}"/>
    <cellStyle name="Moneda 22 4 5 2" xfId="14410" xr:uid="{64BC031A-DDAD-4536-996C-2C29DA84223E}"/>
    <cellStyle name="Moneda 22 4 6" xfId="9451" xr:uid="{8270964A-C224-4FB4-95B2-831AD5670F72}"/>
    <cellStyle name="Moneda 22 5" xfId="2593" xr:uid="{D02994E8-885D-4698-BEAC-A063606098C7}"/>
    <cellStyle name="Moneda 22 5 2" xfId="5598" xr:uid="{9C285AA9-20C0-4D87-BDD7-2AEC15ECB0D1}"/>
    <cellStyle name="Moneda 22 5 2 2" xfId="13159" xr:uid="{514F62BE-F502-4B54-826F-5D20CFB6F5B4}"/>
    <cellStyle name="Moneda 22 5 3" xfId="7002" xr:uid="{C7A51926-6527-4810-AE3F-CB0C8FDB80FE}"/>
    <cellStyle name="Moneda 22 5 3 2" xfId="14531" xr:uid="{F0B27A88-57E9-4308-A1AA-CB877056D650}"/>
    <cellStyle name="Moneda 22 5 4" xfId="10176" xr:uid="{2BC53887-89C1-4163-90FA-81C823F5E4BA}"/>
    <cellStyle name="Moneda 22 6" xfId="2715" xr:uid="{43472F17-C16F-482A-AA3B-3ACB9AA8ADC1}"/>
    <cellStyle name="Moneda 22 6 2" xfId="5720" xr:uid="{60EFF831-5B25-4ADF-8C53-60D89B121E25}"/>
    <cellStyle name="Moneda 22 6 2 2" xfId="13281" xr:uid="{43E66B6D-8AE0-4F2E-A00A-75661B49C3F0}"/>
    <cellStyle name="Moneda 22 6 3" xfId="7124" xr:uid="{8C55141A-9F37-4A4C-AFC6-CE6768538F92}"/>
    <cellStyle name="Moneda 22 6 3 2" xfId="14653" xr:uid="{C424CFD5-7067-431A-8587-EA79387B87C8}"/>
    <cellStyle name="Moneda 22 6 4" xfId="10298" xr:uid="{5A0BA627-E9CA-4166-B69A-B313495B31C8}"/>
    <cellStyle name="Moneda 22 7" xfId="2840" xr:uid="{E269EF3B-15F3-4A2E-B5EA-FFFF090A1BBC}"/>
    <cellStyle name="Moneda 22 7 2" xfId="5844" xr:uid="{03B032B7-6015-4FA7-8573-904FC6839225}"/>
    <cellStyle name="Moneda 22 7 2 2" xfId="13405" xr:uid="{708DDE4C-1E26-499D-A474-BEA06781BD29}"/>
    <cellStyle name="Moneda 22 7 3" xfId="7248" xr:uid="{7FD6D9AD-62B2-4FAF-A03F-332E239C091A}"/>
    <cellStyle name="Moneda 22 7 3 2" xfId="14777" xr:uid="{553BE34D-7733-44D7-B539-1E653017BD29}"/>
    <cellStyle name="Moneda 22 7 4" xfId="10422" xr:uid="{3619563B-6889-4BAE-9FC1-50E64F298A10}"/>
    <cellStyle name="Moneda 22 8" xfId="2964" xr:uid="{BFDDF3F6-FCE6-4FB4-A37E-F8927253F9B7}"/>
    <cellStyle name="Moneda 22 8 2" xfId="5968" xr:uid="{49D338B0-095A-4453-B0A5-F7D63E13820E}"/>
    <cellStyle name="Moneda 22 8 2 2" xfId="13529" xr:uid="{CC730C8C-AE4D-43F1-816F-E57AEFAC58CE}"/>
    <cellStyle name="Moneda 22 8 3" xfId="7372" xr:uid="{1A9A79CD-23B1-4B51-AC64-D59AFCBE11EE}"/>
    <cellStyle name="Moneda 22 8 3 2" xfId="14901" xr:uid="{B57F27D3-C45A-4E4D-828C-71AF33FECBA6}"/>
    <cellStyle name="Moneda 22 8 4" xfId="10546" xr:uid="{B775B4A1-63EF-4E87-B1A5-F9778CF306AC}"/>
    <cellStyle name="Moneda 22 9" xfId="3088" xr:uid="{D9EDCB0B-6E9F-4132-A1E1-43F996EBB845}"/>
    <cellStyle name="Moneda 22 9 2" xfId="6092" xr:uid="{60D7E12E-3DE5-4DBC-96CC-1AF503BB30EC}"/>
    <cellStyle name="Moneda 22 9 2 2" xfId="13653" xr:uid="{3B01C622-1C97-4B44-9265-B83DFED1A49C}"/>
    <cellStyle name="Moneda 22 9 3" xfId="7496" xr:uid="{946E6D32-1D51-4F24-9BAA-ED96BB93F28F}"/>
    <cellStyle name="Moneda 22 9 3 2" xfId="15025" xr:uid="{EE86F417-F124-4BC6-89E8-C7739EF6EA9F}"/>
    <cellStyle name="Moneda 22 9 4" xfId="10670" xr:uid="{FDE6F154-F4DE-4D35-A77D-7BC2988FFE54}"/>
    <cellStyle name="Moneda 220" xfId="845" xr:uid="{4F6C6FBD-2FCB-491A-89F3-587D707C454B}"/>
    <cellStyle name="Moneda 220 2" xfId="2240" xr:uid="{E896BB73-1216-49B3-8D10-1A5F9A7367A7}"/>
    <cellStyle name="Moneda 220 2 2" xfId="5199" xr:uid="{71969A06-04EB-453A-BF97-B3DC36DD04C6}"/>
    <cellStyle name="Moneda 220 2 2 2" xfId="12767" xr:uid="{475500E4-7AF6-4493-A6C6-401A6963E99E}"/>
    <cellStyle name="Moneda 220 2 3" xfId="9847" xr:uid="{602F600E-D372-42B5-A073-729B46EB83F9}"/>
    <cellStyle name="Moneda 220 3" xfId="3926" xr:uid="{99BABA83-E3EF-42E7-98ED-6C21010619E7}"/>
    <cellStyle name="Moneda 220 3 2" xfId="11494" xr:uid="{1B5EA39F-A4AA-4B29-965C-C99D89E01B6B}"/>
    <cellStyle name="Moneda 220 4" xfId="8574" xr:uid="{BA1980FD-178B-4F77-B8E1-90D562E33D9E}"/>
    <cellStyle name="Moneda 221" xfId="848" xr:uid="{E39530C1-2E7A-4BDB-A5C7-31E9C0034A35}"/>
    <cellStyle name="Moneda 221 2" xfId="2242" xr:uid="{01E2C5EE-730D-41EB-B5BE-ED1E202F99F2}"/>
    <cellStyle name="Moneda 221 2 2" xfId="5201" xr:uid="{9B1E0F3F-1A70-4F47-B35E-832D16430064}"/>
    <cellStyle name="Moneda 221 2 2 2" xfId="12769" xr:uid="{11A41B47-7C81-41B1-9D22-59096F3ACB77}"/>
    <cellStyle name="Moneda 221 2 3" xfId="9849" xr:uid="{BAA7B79D-FF5B-4C5D-8101-BBB06656EAB2}"/>
    <cellStyle name="Moneda 221 3" xfId="3928" xr:uid="{1FC72B21-DB9F-4FC4-8EF8-4D1C481D881A}"/>
    <cellStyle name="Moneda 221 3 2" xfId="11496" xr:uid="{2806A4A3-5839-4472-8D6C-729880E0A206}"/>
    <cellStyle name="Moneda 221 4" xfId="8576" xr:uid="{A5F9F261-2E53-4D36-B0A6-6B0F81C5FA1E}"/>
    <cellStyle name="Moneda 222" xfId="851" xr:uid="{B5D69C0B-1EB1-4BA0-85A7-095365F7E1C8}"/>
    <cellStyle name="Moneda 222 2" xfId="2244" xr:uid="{A01C9736-3B5A-4FA0-B54C-C610D4E133B7}"/>
    <cellStyle name="Moneda 222 2 2" xfId="5203" xr:uid="{E2447EDA-085C-4781-A04B-AD8C053A0E19}"/>
    <cellStyle name="Moneda 222 2 2 2" xfId="12771" xr:uid="{DB2BF621-F3E5-4A54-9A72-BE54B7F25CEC}"/>
    <cellStyle name="Moneda 222 2 3" xfId="9851" xr:uid="{D23E9363-D8E8-465E-8AF5-3E6C2980E17B}"/>
    <cellStyle name="Moneda 222 3" xfId="3930" xr:uid="{9D85B8A8-CBC0-4730-BD98-E7BDB3A78A61}"/>
    <cellStyle name="Moneda 222 3 2" xfId="11498" xr:uid="{5B8A3263-6A6F-49A1-A552-8B2C596B0D5E}"/>
    <cellStyle name="Moneda 222 4" xfId="8578" xr:uid="{CB036143-CB23-49CE-9932-AF9C14F0DEDE}"/>
    <cellStyle name="Moneda 223" xfId="854" xr:uid="{FF0C6EBC-FF84-4B17-99FF-71951985DC3E}"/>
    <cellStyle name="Moneda 223 2" xfId="2246" xr:uid="{5195327E-30C7-48D3-9E3D-DCA5EB813C06}"/>
    <cellStyle name="Moneda 223 2 2" xfId="5205" xr:uid="{696361E4-F159-41D7-B528-181ECF8AF410}"/>
    <cellStyle name="Moneda 223 2 2 2" xfId="12773" xr:uid="{C65CA70B-C1E7-4750-AB6F-721A7714545A}"/>
    <cellStyle name="Moneda 223 2 3" xfId="9853" xr:uid="{715F79B3-C1C1-4F2F-96DB-5B35E579806D}"/>
    <cellStyle name="Moneda 223 3" xfId="3932" xr:uid="{21BFDC71-703C-4D39-8A02-9B8ED57F319D}"/>
    <cellStyle name="Moneda 223 3 2" xfId="11500" xr:uid="{8D10A323-C500-4750-A345-B159C844CE74}"/>
    <cellStyle name="Moneda 223 4" xfId="8580" xr:uid="{09C53075-9AAD-4D8A-8FC9-FCBB714381EF}"/>
    <cellStyle name="Moneda 224" xfId="857" xr:uid="{A90845A0-E5C0-4191-A461-291202CF958F}"/>
    <cellStyle name="Moneda 224 2" xfId="2248" xr:uid="{237B4076-D4FC-4594-A136-A2BBCCDE4DB0}"/>
    <cellStyle name="Moneda 224 2 2" xfId="5207" xr:uid="{56E14740-DBB3-4B9F-AA8B-4CE3F80F87B4}"/>
    <cellStyle name="Moneda 224 2 2 2" xfId="12775" xr:uid="{CBC693A4-3CF8-431A-AFF6-9EFB48899C59}"/>
    <cellStyle name="Moneda 224 2 3" xfId="9855" xr:uid="{FD455517-EB66-46F7-9B66-2DCE148F2B0E}"/>
    <cellStyle name="Moneda 224 3" xfId="3934" xr:uid="{21FC55EC-D4BD-4843-86CA-EF2452A9E67E}"/>
    <cellStyle name="Moneda 224 3 2" xfId="11502" xr:uid="{1A359616-B67E-499C-B091-D6CF5EE65C03}"/>
    <cellStyle name="Moneda 224 4" xfId="8582" xr:uid="{CB9172FB-70E3-4CDA-AF98-ADEDFB24C265}"/>
    <cellStyle name="Moneda 225" xfId="860" xr:uid="{4A9D6279-C568-425C-BCDE-7FF08A38EF51}"/>
    <cellStyle name="Moneda 225 2" xfId="2250" xr:uid="{F23D2071-043A-41F5-9D55-47075B52A450}"/>
    <cellStyle name="Moneda 225 2 2" xfId="5209" xr:uid="{C16476DE-7426-43B1-8B63-8B3B53FF1887}"/>
    <cellStyle name="Moneda 225 2 2 2" xfId="12777" xr:uid="{95269BF7-DFA6-4ACE-9A65-72D1D37FCDB0}"/>
    <cellStyle name="Moneda 225 2 3" xfId="9857" xr:uid="{6F592A51-89E7-4F80-A6C4-BBC43397E809}"/>
    <cellStyle name="Moneda 225 3" xfId="3936" xr:uid="{A79C6D6C-5F1F-4211-A632-BA4F9858D39A}"/>
    <cellStyle name="Moneda 225 3 2" xfId="11504" xr:uid="{2933536E-A8BF-4244-9DF3-BF46E1E9CE85}"/>
    <cellStyle name="Moneda 225 4" xfId="8584" xr:uid="{2D3743A5-622B-4AA1-AD0B-91DFFC6CF8F5}"/>
    <cellStyle name="Moneda 226" xfId="863" xr:uid="{E4471D34-3536-48DE-BF78-A446B0411D2D}"/>
    <cellStyle name="Moneda 226 2" xfId="2252" xr:uid="{DBCA8D10-74E8-4E7B-BA00-2AD9162E0E11}"/>
    <cellStyle name="Moneda 226 2 2" xfId="5211" xr:uid="{D66721E6-86AE-4A5F-895A-4368C40267E8}"/>
    <cellStyle name="Moneda 226 2 2 2" xfId="12779" xr:uid="{E15EC601-C318-47F9-A466-62EF9C29EA5B}"/>
    <cellStyle name="Moneda 226 2 3" xfId="9859" xr:uid="{1CB9F853-66C8-4035-B8FB-0E83402C043A}"/>
    <cellStyle name="Moneda 226 3" xfId="3938" xr:uid="{2E0C8304-6D19-4963-A811-0141BE35D96A}"/>
    <cellStyle name="Moneda 226 3 2" xfId="11506" xr:uid="{2C3E5B86-E5DD-4B08-BA03-1D229A9D6ADE}"/>
    <cellStyle name="Moneda 226 4" xfId="8586" xr:uid="{FF66B62E-7B4A-4D3F-AA2C-B8D1AA64AD5C}"/>
    <cellStyle name="Moneda 227" xfId="866" xr:uid="{052B1EC4-00D8-444E-847F-50248FABF3A7}"/>
    <cellStyle name="Moneda 227 2" xfId="2254" xr:uid="{18E24A86-E5E3-4DA8-915A-102B1B061EF0}"/>
    <cellStyle name="Moneda 227 2 2" xfId="5213" xr:uid="{E7EBE575-0C4B-4158-858B-370269291A7D}"/>
    <cellStyle name="Moneda 227 2 2 2" xfId="12781" xr:uid="{06A439FC-84C5-4BB7-99A0-93A724FD8EC4}"/>
    <cellStyle name="Moneda 227 2 3" xfId="9861" xr:uid="{78A559C0-DCBE-4EB4-B988-7004D4DC1C7E}"/>
    <cellStyle name="Moneda 227 3" xfId="3940" xr:uid="{6D45E0BE-64B2-4109-882A-C52554537C30}"/>
    <cellStyle name="Moneda 227 3 2" xfId="11508" xr:uid="{008F9290-DF00-4A01-95B8-C2D4D9637DAA}"/>
    <cellStyle name="Moneda 227 4" xfId="8588" xr:uid="{7A30B087-F13E-42A1-BC71-6F8553DD1574}"/>
    <cellStyle name="Moneda 228" xfId="869" xr:uid="{7F501765-6617-4423-BC0B-FEC4ED428190}"/>
    <cellStyle name="Moneda 228 2" xfId="2256" xr:uid="{58F55B80-BC20-43B1-B8BB-5E8FB1ED1D84}"/>
    <cellStyle name="Moneda 228 2 2" xfId="5215" xr:uid="{95A96F7C-8961-4F58-873D-5E92E1630D66}"/>
    <cellStyle name="Moneda 228 2 2 2" xfId="12783" xr:uid="{E183CE8A-B80F-4326-998C-445805A1C477}"/>
    <cellStyle name="Moneda 228 2 3" xfId="9863" xr:uid="{AFE13D2F-6185-4481-A4C7-4CC1730B37BE}"/>
    <cellStyle name="Moneda 228 3" xfId="3942" xr:uid="{8DB03CBD-8064-4259-9245-370AA05B599E}"/>
    <cellStyle name="Moneda 228 3 2" xfId="11510" xr:uid="{A8B3AF02-EED3-40F0-A11B-5E048854D6FC}"/>
    <cellStyle name="Moneda 228 4" xfId="8590" xr:uid="{D5F6F80F-55AF-407F-BDAB-B86B2BC6C8D9}"/>
    <cellStyle name="Moneda 229" xfId="872" xr:uid="{D6943FEB-A0FB-4340-BE3D-CE8721DE8150}"/>
    <cellStyle name="Moneda 229 2" xfId="1047" xr:uid="{F758EAA6-1513-4765-9A00-2DF57EE31239}"/>
    <cellStyle name="Moneda 229 2 2" xfId="4007" xr:uid="{653FE439-79A7-411E-9863-C4EEB45BC40C}"/>
    <cellStyle name="Moneda 229 2 2 2" xfId="11575" xr:uid="{BC8EB83B-5760-487E-90AA-EBCD60F569FB}"/>
    <cellStyle name="Moneda 229 2 3" xfId="8655" xr:uid="{FC1E6FC6-DC5A-4BF9-A705-85A0C6D124E0}"/>
    <cellStyle name="Moneda 229 3" xfId="2258" xr:uid="{3A5F7378-6791-4517-BACC-A56EF98C3178}"/>
    <cellStyle name="Moneda 229 3 2" xfId="5217" xr:uid="{BF88F406-DB79-41D3-AAC4-0A6266759D75}"/>
    <cellStyle name="Moneda 229 3 2 2" xfId="12785" xr:uid="{CBF06FB3-7C80-4530-B9B1-213CFB65C5B1}"/>
    <cellStyle name="Moneda 229 3 3" xfId="9865" xr:uid="{19D543CA-CE6A-4547-95B4-4F2DA0B008D7}"/>
    <cellStyle name="Moneda 229 4" xfId="3944" xr:uid="{4A76E016-9C16-4C8A-BB57-B0E950D6DDDA}"/>
    <cellStyle name="Moneda 229 4 2" xfId="11512" xr:uid="{1B0587B4-5332-4574-8C30-B5D741C73FF8}"/>
    <cellStyle name="Moneda 229 5" xfId="8592" xr:uid="{977F3D15-9B18-455B-AD1C-602AFB85BB77}"/>
    <cellStyle name="Moneda 23" xfId="253" xr:uid="{C2630A3B-6BC5-4539-B2F1-977681B01CEA}"/>
    <cellStyle name="Moneda 23 10" xfId="3063" xr:uid="{291B3A0A-554D-4617-A956-4854A55CA224}"/>
    <cellStyle name="Moneda 23 10 2" xfId="6067" xr:uid="{47AA2D96-60A1-432A-B37C-A4BBB6BC1927}"/>
    <cellStyle name="Moneda 23 10 2 2" xfId="8106" xr:uid="{133BFA72-AA8B-4975-A12F-7941CA5B4B20}"/>
    <cellStyle name="Moneda 23 10 2 2 2" xfId="15631" xr:uid="{DFDB3AEA-1DCE-4113-9715-BFF48200C6E8}"/>
    <cellStyle name="Moneda 23 10 2 3" xfId="13628" xr:uid="{C1CFA39D-5BD2-41ED-A583-9D6AD4EAF639}"/>
    <cellStyle name="Moneda 23 10 3" xfId="7471" xr:uid="{86BAC16F-6983-48C2-8568-5FB39E8A430D}"/>
    <cellStyle name="Moneda 23 10 3 2" xfId="15000" xr:uid="{2BA353F7-78E1-4AE5-94AA-97257D6612E6}"/>
    <cellStyle name="Moneda 23 10 4" xfId="10645" xr:uid="{32913690-9155-4A88-9D90-13C56244575A}"/>
    <cellStyle name="Moneda 23 11" xfId="3188" xr:uid="{5D3C227C-1B4E-499C-8FF9-480AC25B5C52}"/>
    <cellStyle name="Moneda 23 11 2" xfId="6192" xr:uid="{0E0A1268-28AD-4DDA-9B17-59484196D311}"/>
    <cellStyle name="Moneda 23 11 2 2" xfId="13753" xr:uid="{69F13422-756C-430D-BCDE-C327027CEB5D}"/>
    <cellStyle name="Moneda 23 11 3" xfId="7596" xr:uid="{51FC9BED-3848-4D02-BE58-D4BA072B5FA1}"/>
    <cellStyle name="Moneda 23 11 3 2" xfId="15125" xr:uid="{3C59D78C-5EC0-4432-8040-5DA29000964D}"/>
    <cellStyle name="Moneda 23 11 4" xfId="10770" xr:uid="{1B863E56-5048-489E-8282-D1E35A0FB701}"/>
    <cellStyle name="Moneda 23 12" xfId="3316" xr:uid="{C774B7EE-89D1-4E9F-AA96-84C123793E18}"/>
    <cellStyle name="Moneda 23 12 2" xfId="6318" xr:uid="{E2FE5868-DB03-47E3-BC70-09DC0A980C8A}"/>
    <cellStyle name="Moneda 23 12 2 2" xfId="13879" xr:uid="{921AD6B9-D875-4AE2-9160-CDB70E534F6E}"/>
    <cellStyle name="Moneda 23 12 3" xfId="7722" xr:uid="{AE854083-ACF5-4D5B-B5DE-1A76F1898684}"/>
    <cellStyle name="Moneda 23 12 3 2" xfId="15251" xr:uid="{C08CF816-9484-4EB6-BEBA-12591441222D}"/>
    <cellStyle name="Moneda 23 12 4" xfId="10896" xr:uid="{5FD7192E-B37A-4F7A-885F-99FEA261DB3F}"/>
    <cellStyle name="Moneda 23 13" xfId="2344" xr:uid="{C36796B3-A196-4016-A5F9-CF77370C5E37}"/>
    <cellStyle name="Moneda 23 13 2" xfId="6446" xr:uid="{AE8688C2-2056-4E5A-BF62-AC3E7BB1D90E}"/>
    <cellStyle name="Moneda 23 13 2 2" xfId="14006" xr:uid="{16DA9A68-D7DF-43DB-BFEF-3BDD34DDE52C}"/>
    <cellStyle name="Moneda 23 13 3" xfId="7849" xr:uid="{ABDAD9CB-A336-4D45-A13A-A6244450A2E4}"/>
    <cellStyle name="Moneda 23 13 3 2" xfId="15378" xr:uid="{6D225488-0929-42E2-8F61-F24DDF522D48}"/>
    <cellStyle name="Moneda 23 13 4" xfId="9939" xr:uid="{B7A14A1D-047B-4F3B-B725-382DD810A230}"/>
    <cellStyle name="Moneda 23 14" xfId="3532" xr:uid="{202A6183-DE1E-428C-9132-EA9C71D63DB4}"/>
    <cellStyle name="Moneda 23 14 2" xfId="11100" xr:uid="{3798E0C2-31A3-4247-9569-2E9619FE3CC1}"/>
    <cellStyle name="Moneda 23 15" xfId="5361" xr:uid="{0F640524-9CB0-4A5F-ABD3-48A631349EE7}"/>
    <cellStyle name="Moneda 23 15 2" xfId="12922" xr:uid="{7FF1D905-2F3E-46C9-9189-DBB32F690252}"/>
    <cellStyle name="Moneda 23 16" xfId="6765" xr:uid="{8124B0E9-327A-43D5-9554-6BF0E9F4CDCA}"/>
    <cellStyle name="Moneda 23 16 2" xfId="14294" xr:uid="{74928664-F75D-4E52-8CA9-F0223DB83710}"/>
    <cellStyle name="Moneda 23 17" xfId="8180" xr:uid="{6C2DFE54-DB0F-40E9-A274-814F8CC08870}"/>
    <cellStyle name="Moneda 23 2" xfId="1103" xr:uid="{4D8A7513-00BE-481B-BDDB-65BF52342A5E}"/>
    <cellStyle name="Moneda 23 2 10" xfId="3374" xr:uid="{8536B9A3-7D76-4EC8-BDB4-72DD5906C1BA}"/>
    <cellStyle name="Moneda 23 2 10 2" xfId="6376" xr:uid="{A32AD6C0-A3D4-4F37-8217-148FAD4DFA4A}"/>
    <cellStyle name="Moneda 23 2 10 2 2" xfId="13937" xr:uid="{20CF95A4-9A14-48C3-B545-461B6AB41246}"/>
    <cellStyle name="Moneda 23 2 10 3" xfId="7780" xr:uid="{BF49C800-8FD6-42BB-B807-AC935A4B5CC4}"/>
    <cellStyle name="Moneda 23 2 10 3 2" xfId="15309" xr:uid="{C240989D-2161-4DB0-AA88-48C4D982FF1D}"/>
    <cellStyle name="Moneda 23 2 10 4" xfId="10954" xr:uid="{5CD21ADC-1FE0-49F3-9AB7-50B89D0203E5}"/>
    <cellStyle name="Moneda 23 2 11" xfId="2380" xr:uid="{AB3399A5-7C27-4527-BD2A-DD8EEE43B2AF}"/>
    <cellStyle name="Moneda 23 2 11 2" xfId="6512" xr:uid="{D09B89E0-6611-4C53-87E8-FB1504D45E29}"/>
    <cellStyle name="Moneda 23 2 11 2 2" xfId="14068" xr:uid="{A983D14A-A7B7-4F61-9073-E82B3518BBFE}"/>
    <cellStyle name="Moneda 23 2 11 3" xfId="7911" xr:uid="{010CB853-4696-4DB8-8F64-D912979B7A31}"/>
    <cellStyle name="Moneda 23 2 11 3 2" xfId="15440" xr:uid="{E090DCE3-99E5-4822-8AAF-83B941B61EB3}"/>
    <cellStyle name="Moneda 23 2 11 4" xfId="9969" xr:uid="{95483A24-2B34-4F9C-A962-12944F744D96}"/>
    <cellStyle name="Moneda 23 2 12" xfId="4063" xr:uid="{4A88EBE9-BC7B-4610-A29B-03B12A8ED05B}"/>
    <cellStyle name="Moneda 23 2 12 2" xfId="11631" xr:uid="{E0ABB30F-2047-4B90-B5DF-8D8B76D93E12}"/>
    <cellStyle name="Moneda 23 2 13" xfId="5391" xr:uid="{EAFCC3DD-7E8B-468F-8E2E-F0A3E9E5B808}"/>
    <cellStyle name="Moneda 23 2 13 2" xfId="12952" xr:uid="{6A9EB4FA-0B56-4439-B801-BBAAA255DD60}"/>
    <cellStyle name="Moneda 23 2 14" xfId="6795" xr:uid="{DA0993EA-0749-4446-9A78-059914C4C1B4}"/>
    <cellStyle name="Moneda 23 2 14 2" xfId="14324" xr:uid="{53E4A8F0-164A-4C72-AC08-2318B6B7F1C1}"/>
    <cellStyle name="Moneda 23 2 15" xfId="8711" xr:uid="{7AE0A13D-3207-484E-8D50-F89D0B4B769E}"/>
    <cellStyle name="Moneda 23 2 2" xfId="2439" xr:uid="{CB445A28-6179-4CF5-AE7B-C5617E21F4D4}"/>
    <cellStyle name="Moneda 23 2 2 10" xfId="6570" xr:uid="{366AF0EE-66E9-4AFE-ABAF-45E78887605F}"/>
    <cellStyle name="Moneda 23 2 2 10 2" xfId="7969" xr:uid="{AED33394-F843-4F90-85AA-ECC07580386D}"/>
    <cellStyle name="Moneda 23 2 2 10 2 2" xfId="15498" xr:uid="{04DD86CD-180F-4D86-9B31-E926A8AFD476}"/>
    <cellStyle name="Moneda 23 2 2 10 3" xfId="14126" xr:uid="{E0E1C479-46C1-4F30-8396-6F7579AE7FE2}"/>
    <cellStyle name="Moneda 23 2 2 11" xfId="5449" xr:uid="{89E7BCFC-8036-40F1-9AB1-61BCE1B321B5}"/>
    <cellStyle name="Moneda 23 2 2 11 2" xfId="13010" xr:uid="{EC4E0A26-0F26-400A-BC39-598494010AC2}"/>
    <cellStyle name="Moneda 23 2 2 12" xfId="6853" xr:uid="{635BA174-F95F-4604-A6EE-8CCF0FEE0924}"/>
    <cellStyle name="Moneda 23 2 2 12 2" xfId="14382" xr:uid="{C2A00935-F4B3-4154-8D07-CE49DA02E21E}"/>
    <cellStyle name="Moneda 23 2 2 13" xfId="10027" xr:uid="{5552D072-FE01-49EF-B4E4-B77128D80A37}"/>
    <cellStyle name="Moneda 23 2 2 2" xfId="2307" xr:uid="{5BF63BC8-258B-45BE-B3E9-8D70F27674AA}"/>
    <cellStyle name="Moneda 23 2 2 2 2" xfId="2563" xr:uid="{23F86314-FDF0-4F26-A6E8-B33B129DB366}"/>
    <cellStyle name="Moneda 23 2 2 2 2 2" xfId="6705" xr:uid="{BAFED4A6-D99A-4A20-B3D6-B80ED6A7D8E7}"/>
    <cellStyle name="Moneda 23 2 2 2 2 2 2" xfId="14248" xr:uid="{726BFE84-33B1-44F8-A45A-3365B4BCEB9B}"/>
    <cellStyle name="Moneda 23 2 2 2 2 3" xfId="8091" xr:uid="{9383F975-9762-48BD-B729-EFF8D5424C0B}"/>
    <cellStyle name="Moneda 23 2 2 2 2 3 2" xfId="15620" xr:uid="{33DF8F30-7329-4176-BA6F-FE47B398915B}"/>
    <cellStyle name="Moneda 23 2 2 2 2 4" xfId="10147" xr:uid="{50A1A2E8-7B28-4E62-9FBB-F48BCE9E8F92}"/>
    <cellStyle name="Moneda 23 2 2 2 3" xfId="5262" xr:uid="{DFDB9DC6-251A-4377-B4E9-0A1C9D1428D7}"/>
    <cellStyle name="Moneda 23 2 2 2 3 2" xfId="12830" xr:uid="{C0103D87-263F-4679-B115-0A86820061B5}"/>
    <cellStyle name="Moneda 23 2 2 2 4" xfId="5569" xr:uid="{269F04E7-AEC1-4BAF-BA10-449062C43302}"/>
    <cellStyle name="Moneda 23 2 2 2 4 2" xfId="13130" xr:uid="{B6759D85-B8B0-4185-8E20-0EC249722694}"/>
    <cellStyle name="Moneda 23 2 2 2 5" xfId="6973" xr:uid="{BB4197DC-75B0-48FC-9E06-688362D0417C}"/>
    <cellStyle name="Moneda 23 2 2 2 5 2" xfId="14502" xr:uid="{F577EF05-20D6-4390-9D60-B1C5D90FEB63}"/>
    <cellStyle name="Moneda 23 2 2 2 6" xfId="9910" xr:uid="{BA8A419D-74F9-4E71-9369-5B8445D73BEA}"/>
    <cellStyle name="Moneda 23 2 2 3" xfId="2306" xr:uid="{97783F4E-1DD1-4765-A17D-DDD7C2294AAD}"/>
    <cellStyle name="Moneda 23 2 2 3 2" xfId="2684" xr:uid="{FA3F9D61-35C4-4AFE-B2F9-3218C79AD18C}"/>
    <cellStyle name="Moneda 23 2 2 3 2 2" xfId="10267" xr:uid="{C5599566-8211-4D16-BF8B-7619F3E252D1}"/>
    <cellStyle name="Moneda 23 2 2 3 3" xfId="5261" xr:uid="{1411EC1C-4946-4401-9A2B-91D2D7B16163}"/>
    <cellStyle name="Moneda 23 2 2 3 3 2" xfId="12829" xr:uid="{1DE781B2-6162-40F4-BCBE-57D3DCD0D100}"/>
    <cellStyle name="Moneda 23 2 2 3 4" xfId="5689" xr:uid="{7A1BE3B4-F454-400F-97FE-BFF1105448F5}"/>
    <cellStyle name="Moneda 23 2 2 3 4 2" xfId="13250" xr:uid="{F9AFFD1A-4661-40B9-BC22-487011AA63CD}"/>
    <cellStyle name="Moneda 23 2 2 3 5" xfId="7093" xr:uid="{0A3D0926-EACB-4189-BC50-E00498B54309}"/>
    <cellStyle name="Moneda 23 2 2 3 5 2" xfId="14622" xr:uid="{EA989F63-6287-426E-8DFD-13921BBF111E}"/>
    <cellStyle name="Moneda 23 2 2 3 6" xfId="9909" xr:uid="{D50E8A1F-5AB6-44E8-B6E1-BDD8E5EF28A4}"/>
    <cellStyle name="Moneda 23 2 2 4" xfId="2806" xr:uid="{4FA8F94E-F657-43A6-89CB-55BF3353A455}"/>
    <cellStyle name="Moneda 23 2 2 4 2" xfId="5811" xr:uid="{2A634854-55B1-4A9C-BEC4-057DA1CE2B2F}"/>
    <cellStyle name="Moneda 23 2 2 4 2 2" xfId="13372" xr:uid="{6D942034-61A7-4CDB-ABE6-57323E33F113}"/>
    <cellStyle name="Moneda 23 2 2 4 3" xfId="7215" xr:uid="{F8E4F9FA-6332-451F-80E6-EEA7655A7333}"/>
    <cellStyle name="Moneda 23 2 2 4 3 2" xfId="14744" xr:uid="{E45CF42E-9B30-42BC-9AB4-0413E9168FA2}"/>
    <cellStyle name="Moneda 23 2 2 4 4" xfId="10389" xr:uid="{26364220-2CF3-436E-8BCB-2A808032E85F}"/>
    <cellStyle name="Moneda 23 2 2 5" xfId="2931" xr:uid="{757FFEB1-BA4F-45BF-A345-3D9A5412AA4B}"/>
    <cellStyle name="Moneda 23 2 2 5 2" xfId="5935" xr:uid="{3172B911-2D00-4D63-8B8C-F8EEB42D86C3}"/>
    <cellStyle name="Moneda 23 2 2 5 2 2" xfId="13496" xr:uid="{F1CC0060-1EF5-4F60-909D-8C6AF2BF144C}"/>
    <cellStyle name="Moneda 23 2 2 5 3" xfId="7339" xr:uid="{6C236BB8-8601-43F9-9DB8-6528A6ADD6D1}"/>
    <cellStyle name="Moneda 23 2 2 5 3 2" xfId="14868" xr:uid="{1AB44042-EAFF-4F79-A37A-1B2073A15972}"/>
    <cellStyle name="Moneda 23 2 2 5 4" xfId="10513" xr:uid="{98D4F5E3-64AF-413A-9724-FFA4F3D4DECE}"/>
    <cellStyle name="Moneda 23 2 2 6" xfId="3055" xr:uid="{29C641ED-D07B-444F-91F8-EF29477037B5}"/>
    <cellStyle name="Moneda 23 2 2 6 2" xfId="6059" xr:uid="{BDF277A5-21B7-45BD-95F8-A65F15FC4AEB}"/>
    <cellStyle name="Moneda 23 2 2 6 2 2" xfId="13620" xr:uid="{47C5DD22-14FA-4175-87B0-208DFA4386A1}"/>
    <cellStyle name="Moneda 23 2 2 6 3" xfId="7463" xr:uid="{DF580785-7DEE-4C5A-895A-E27D843B0D4C}"/>
    <cellStyle name="Moneda 23 2 2 6 3 2" xfId="14992" xr:uid="{B59E903B-9215-4333-9307-99169036C2A9}"/>
    <cellStyle name="Moneda 23 2 2 6 4" xfId="10637" xr:uid="{E5F8A382-FF8D-44A9-8658-32151B525025}"/>
    <cellStyle name="Moneda 23 2 2 7" xfId="3179" xr:uid="{1D1D6069-384C-43EC-B029-677C8777EAEE}"/>
    <cellStyle name="Moneda 23 2 2 7 2" xfId="6183" xr:uid="{4D487ABD-4536-4B3E-9F33-6C97D4C05A9D}"/>
    <cellStyle name="Moneda 23 2 2 7 2 2" xfId="13744" xr:uid="{1640E583-4C22-4503-BD43-5EDB851BB452}"/>
    <cellStyle name="Moneda 23 2 2 7 3" xfId="7587" xr:uid="{9E46E382-CCED-4BC0-BA82-308C633FFF8F}"/>
    <cellStyle name="Moneda 23 2 2 7 3 2" xfId="15116" xr:uid="{6E8DA8A5-3BB5-408B-8F00-AF77BB9B461D}"/>
    <cellStyle name="Moneda 23 2 2 7 4" xfId="10761" xr:uid="{56E90AA3-CF8D-404E-AE64-C32DDE267316}"/>
    <cellStyle name="Moneda 23 2 2 8" xfId="3304" xr:uid="{1E6A58FD-B1D5-4771-80EA-35DF466F76D5}"/>
    <cellStyle name="Moneda 23 2 2 8 2" xfId="6308" xr:uid="{3C88453A-E3AE-48E7-BE8D-707F55FB92BC}"/>
    <cellStyle name="Moneda 23 2 2 8 2 2" xfId="13869" xr:uid="{7559647F-D160-4156-A7C6-F05CD1D0573D}"/>
    <cellStyle name="Moneda 23 2 2 8 3" xfId="7712" xr:uid="{76F16D4F-CF73-4D9F-97D0-9213454C4CF8}"/>
    <cellStyle name="Moneda 23 2 2 8 3 2" xfId="15241" xr:uid="{F9F659E8-ED13-4212-9169-7593D666BBC0}"/>
    <cellStyle name="Moneda 23 2 2 8 4" xfId="10886" xr:uid="{206F2E7D-D5EF-4CE6-945F-3652A8F1C8FF}"/>
    <cellStyle name="Moneda 23 2 2 9" xfId="3432" xr:uid="{F2EFE8FD-925B-48BF-A6A3-CA962DFBBE11}"/>
    <cellStyle name="Moneda 23 2 2 9 2" xfId="6434" xr:uid="{9CEDC25D-7BB3-4989-9427-99FAFBC78B30}"/>
    <cellStyle name="Moneda 23 2 2 9 2 2" xfId="13995" xr:uid="{799B7CF3-EEE6-42B0-8A25-08B8050B460F}"/>
    <cellStyle name="Moneda 23 2 2 9 3" xfId="7838" xr:uid="{B14212F0-EA72-4B90-BB63-96071D2A7123}"/>
    <cellStyle name="Moneda 23 2 2 9 3 2" xfId="15367" xr:uid="{05E2CD7C-6063-4B86-8EBD-EC4DC924211E}"/>
    <cellStyle name="Moneda 23 2 2 9 4" xfId="11012" xr:uid="{F40352F5-3224-4C5E-9A65-0D0A986B8D84}"/>
    <cellStyle name="Moneda 23 2 3" xfId="2505" xr:uid="{973D0B69-F74F-40B3-8BF9-9300B57451EE}"/>
    <cellStyle name="Moneda 23 2 3 2" xfId="6647" xr:uid="{6BC90A91-8250-4A1F-AEE5-AE7E5D473504}"/>
    <cellStyle name="Moneda 23 2 3 2 2" xfId="8033" xr:uid="{141CF8CD-3F15-4332-B551-292991ED0483}"/>
    <cellStyle name="Moneda 23 2 3 2 2 2" xfId="15562" xr:uid="{4A21AEA5-F6B6-4E90-9CEE-E9EE975D1677}"/>
    <cellStyle name="Moneda 23 2 3 2 3" xfId="14190" xr:uid="{E0927AF5-9B08-43B1-82A3-062BEB3AED72}"/>
    <cellStyle name="Moneda 23 2 3 3" xfId="5511" xr:uid="{D5BB30D4-6F65-4122-A00B-1D8FCFA45B6B}"/>
    <cellStyle name="Moneda 23 2 3 3 2" xfId="13072" xr:uid="{1770FBA1-CA50-43A1-B9FE-190726DAFA8E}"/>
    <cellStyle name="Moneda 23 2 3 4" xfId="6915" xr:uid="{604AF952-CE36-4317-A434-FB2E3318373A}"/>
    <cellStyle name="Moneda 23 2 3 4 2" xfId="14444" xr:uid="{3E4C3EE7-7091-41D5-9D3B-C8D27E317010}"/>
    <cellStyle name="Moneda 23 2 3 5" xfId="10089" xr:uid="{4B219696-AD27-4203-9E04-A02D4FD17FD0}"/>
    <cellStyle name="Moneda 23 2 4" xfId="2626" xr:uid="{2EEF0A85-9EAA-4DE4-8B04-5A66B95D3129}"/>
    <cellStyle name="Moneda 23 2 4 2" xfId="5631" xr:uid="{80E8349A-0778-4F94-87A3-0A1FCB6FFDF1}"/>
    <cellStyle name="Moneda 23 2 4 2 2" xfId="13192" xr:uid="{E50A9BAE-6DB0-4333-97D0-E1978BB3FE8C}"/>
    <cellStyle name="Moneda 23 2 4 3" xfId="7035" xr:uid="{56DC7BE2-EB58-464D-8997-3184C40D2E8F}"/>
    <cellStyle name="Moneda 23 2 4 3 2" xfId="14564" xr:uid="{DB4FFB19-E578-4FA6-84DB-F3D763BCF241}"/>
    <cellStyle name="Moneda 23 2 4 4" xfId="10209" xr:uid="{6FF3B899-1BB9-4D31-92D9-E416C08E830B}"/>
    <cellStyle name="Moneda 23 2 5" xfId="2748" xr:uid="{AD772423-88D4-437B-9B38-0D6E1C381D7E}"/>
    <cellStyle name="Moneda 23 2 5 2" xfId="5753" xr:uid="{03E5F9F6-E4BB-4F67-88CE-95664E5A9867}"/>
    <cellStyle name="Moneda 23 2 5 2 2" xfId="13314" xr:uid="{FA261730-6B22-469D-853A-B22504B32BE3}"/>
    <cellStyle name="Moneda 23 2 5 3" xfId="7157" xr:uid="{B53C75A2-1154-4C07-8DA4-1EB2C7B8E2DB}"/>
    <cellStyle name="Moneda 23 2 5 3 2" xfId="14686" xr:uid="{B3D9F067-BBB4-4299-95A8-670B44DF31AD}"/>
    <cellStyle name="Moneda 23 2 5 4" xfId="10331" xr:uid="{CEE5A393-A93D-4B82-87DE-5E3B8E905E22}"/>
    <cellStyle name="Moneda 23 2 6" xfId="2873" xr:uid="{B45D9A15-FF25-4814-98D4-6AB315688B62}"/>
    <cellStyle name="Moneda 23 2 6 2" xfId="5877" xr:uid="{1D5A6883-028D-4ADD-8A8D-FCAFA9114390}"/>
    <cellStyle name="Moneda 23 2 6 2 2" xfId="13438" xr:uid="{ACC69B4B-4799-4F44-A0C3-183F29BD1F68}"/>
    <cellStyle name="Moneda 23 2 6 3" xfId="7281" xr:uid="{3123AA66-F5A9-4D0B-9A41-7FF4502437FF}"/>
    <cellStyle name="Moneda 23 2 6 3 2" xfId="14810" xr:uid="{ECC11A47-A2E6-4B1E-A191-2C5F1809FFAD}"/>
    <cellStyle name="Moneda 23 2 6 4" xfId="10455" xr:uid="{347ED41E-6DFD-4FCF-85EB-E31023DD7B8D}"/>
    <cellStyle name="Moneda 23 2 7" xfId="2997" xr:uid="{C3A244DD-64E0-4CBB-A1A9-1C1DC97106F8}"/>
    <cellStyle name="Moneda 23 2 7 2" xfId="6001" xr:uid="{3AB5FDBC-BC1F-4E7A-B039-35D7AF10BE4A}"/>
    <cellStyle name="Moneda 23 2 7 2 2" xfId="13562" xr:uid="{74F6CD02-2D40-4EFA-BE7A-4019C18864A4}"/>
    <cellStyle name="Moneda 23 2 7 3" xfId="7405" xr:uid="{69FB96DB-BE11-427E-8BA2-BACFD64703B4}"/>
    <cellStyle name="Moneda 23 2 7 3 2" xfId="14934" xr:uid="{38098931-BAA7-4CB1-91F3-E3D95A155D26}"/>
    <cellStyle name="Moneda 23 2 7 4" xfId="10579" xr:uid="{38355DC5-C639-4AD5-AB0E-882C34C93FF6}"/>
    <cellStyle name="Moneda 23 2 8" xfId="3121" xr:uid="{C257E126-307C-45CB-B398-5014F6A00F3C}"/>
    <cellStyle name="Moneda 23 2 8 2" xfId="6125" xr:uid="{9BE6CF40-09D1-4D36-B89A-A4B93A7E9E0B}"/>
    <cellStyle name="Moneda 23 2 8 2 2" xfId="13686" xr:uid="{950A19E0-2B40-47D9-8FF7-FE9986B52FE2}"/>
    <cellStyle name="Moneda 23 2 8 3" xfId="7529" xr:uid="{3BE6678A-965D-44FA-ABEF-90E2E6407825}"/>
    <cellStyle name="Moneda 23 2 8 3 2" xfId="15058" xr:uid="{ACEDE68F-7CC3-4EDB-BD2B-2A5CB5B7CFF0}"/>
    <cellStyle name="Moneda 23 2 8 4" xfId="10703" xr:uid="{411EDCB2-1F04-41E4-9552-6A8EB4972661}"/>
    <cellStyle name="Moneda 23 2 9" xfId="3246" xr:uid="{4F85C422-6F96-4B61-8D0D-F26D7508B257}"/>
    <cellStyle name="Moneda 23 2 9 2" xfId="6250" xr:uid="{6B5F3996-A9A3-4A9D-8063-F249B0B63175}"/>
    <cellStyle name="Moneda 23 2 9 2 2" xfId="13811" xr:uid="{F85C88DB-D38A-4F17-AEFA-35A708DFF963}"/>
    <cellStyle name="Moneda 23 2 9 3" xfId="7654" xr:uid="{08DB1BA1-FF78-430E-8076-E81D152B7649}"/>
    <cellStyle name="Moneda 23 2 9 3 2" xfId="15183" xr:uid="{AFCBA5C9-2EA7-4A7B-A03D-3CDAF9F2D1DC}"/>
    <cellStyle name="Moneda 23 2 9 4" xfId="10828" xr:uid="{02397FA0-43BA-4395-9F8B-E8C5A42631E7}"/>
    <cellStyle name="Moneda 23 3" xfId="1467" xr:uid="{A91D82C1-A2CB-4682-A6B5-7E3E54F746B2}"/>
    <cellStyle name="Moneda 23 3 10" xfId="2409" xr:uid="{1B4CAD6B-1FF1-4CB5-BABF-3B3CB996901F}"/>
    <cellStyle name="Moneda 23 3 10 2" xfId="6540" xr:uid="{D9968A1D-53E9-411F-AB83-288C445AE9C3}"/>
    <cellStyle name="Moneda 23 3 10 2 2" xfId="14096" xr:uid="{892EAE13-200D-4AB9-9A0B-046F4EBC935E}"/>
    <cellStyle name="Moneda 23 3 10 3" xfId="7939" xr:uid="{08F54CF4-F527-49E4-BF10-336F8E5A4B8A}"/>
    <cellStyle name="Moneda 23 3 10 3 2" xfId="15468" xr:uid="{766677B2-8AF2-4808-9E55-0C54774A2518}"/>
    <cellStyle name="Moneda 23 3 10 4" xfId="9997" xr:uid="{4685613E-FB7C-427A-96A2-7218939473C2}"/>
    <cellStyle name="Moneda 23 3 11" xfId="4427" xr:uid="{4A3615DA-E543-4297-BFBF-7553BDECE56F}"/>
    <cellStyle name="Moneda 23 3 11 2" xfId="11995" xr:uid="{A2BEFB7E-765D-432C-AE91-DCDE010FC4A1}"/>
    <cellStyle name="Moneda 23 3 12" xfId="5419" xr:uid="{3F93E84B-3DA3-4A97-B049-B5528AD0D118}"/>
    <cellStyle name="Moneda 23 3 12 2" xfId="12980" xr:uid="{1DF23BC3-0DD1-4D8D-8280-0084FFC35998}"/>
    <cellStyle name="Moneda 23 3 13" xfId="6823" xr:uid="{2EC2F433-43DE-4CAD-A35F-5FC6AAE4776C}"/>
    <cellStyle name="Moneda 23 3 13 2" xfId="14352" xr:uid="{C265EECB-F2D2-4773-83F9-81FE65A346F2}"/>
    <cellStyle name="Moneda 23 3 14" xfId="9075" xr:uid="{EEF5AA07-1B8C-4114-A5A9-729DE854399F}"/>
    <cellStyle name="Moneda 23 3 2" xfId="2533" xr:uid="{6291099D-E5C9-4DCF-BE3D-0EDD44A1AF7C}"/>
    <cellStyle name="Moneda 23 3 2 2" xfId="6675" xr:uid="{7971F2D5-24F8-47BE-ADCB-D86B01FDA531}"/>
    <cellStyle name="Moneda 23 3 2 2 2" xfId="8061" xr:uid="{A09F0298-7AC9-4749-8258-8490A7373ABB}"/>
    <cellStyle name="Moneda 23 3 2 2 2 2" xfId="15590" xr:uid="{30CF1892-D0A0-473B-818F-249BA276B419}"/>
    <cellStyle name="Moneda 23 3 2 2 3" xfId="14218" xr:uid="{B730DEA2-B3EB-48C5-B23C-2D998FB1F8D6}"/>
    <cellStyle name="Moneda 23 3 2 3" xfId="5539" xr:uid="{4CF7E143-268E-4028-8FA0-C4992BEAA375}"/>
    <cellStyle name="Moneda 23 3 2 3 2" xfId="13100" xr:uid="{F0D980D7-C1E9-4660-8E9B-EB1B9D67B019}"/>
    <cellStyle name="Moneda 23 3 2 4" xfId="6943" xr:uid="{AC7C08DA-4CA7-477E-9F80-BF1D20930D10}"/>
    <cellStyle name="Moneda 23 3 2 4 2" xfId="14472" xr:uid="{9FBBDCC9-9E5F-4708-986E-EB2ADD7A5212}"/>
    <cellStyle name="Moneda 23 3 2 5" xfId="10117" xr:uid="{40DBBCB5-E3D4-47AB-80B0-C8AB2A6C4CB4}"/>
    <cellStyle name="Moneda 23 3 3" xfId="2654" xr:uid="{1E46F74B-A47C-49A2-BA79-B5155A50A44F}"/>
    <cellStyle name="Moneda 23 3 3 2" xfId="5659" xr:uid="{5DAF747D-9A00-4FC6-B03C-05ED5C41C28C}"/>
    <cellStyle name="Moneda 23 3 3 2 2" xfId="13220" xr:uid="{40B53BCD-4E65-4DC4-9878-D07C5DC162F1}"/>
    <cellStyle name="Moneda 23 3 3 3" xfId="7063" xr:uid="{F31DF2D3-4434-4046-89C5-FD9EE79108BB}"/>
    <cellStyle name="Moneda 23 3 3 3 2" xfId="14592" xr:uid="{F57D912E-8E79-457B-B952-DC46888DF0F7}"/>
    <cellStyle name="Moneda 23 3 3 4" xfId="10237" xr:uid="{03434B49-7D77-4CB3-B3D7-D94824BDDB8A}"/>
    <cellStyle name="Moneda 23 3 4" xfId="2776" xr:uid="{ABA6E58E-FDA4-43F1-B05A-847D571214FC}"/>
    <cellStyle name="Moneda 23 3 4 2" xfId="5781" xr:uid="{25CBB6DF-F14E-4402-B0D1-8749C58BE9B3}"/>
    <cellStyle name="Moneda 23 3 4 2 2" xfId="13342" xr:uid="{1AB7B112-3D8E-446D-BFCB-9F47530740AC}"/>
    <cellStyle name="Moneda 23 3 4 3" xfId="7185" xr:uid="{61132D59-079D-49E9-BB8D-1AB1FC116C4E}"/>
    <cellStyle name="Moneda 23 3 4 3 2" xfId="14714" xr:uid="{8A66249C-CAD3-4D5C-A6DA-95B06727E536}"/>
    <cellStyle name="Moneda 23 3 4 4" xfId="10359" xr:uid="{27725A07-2B15-4ECA-AB61-BD18533BFBCC}"/>
    <cellStyle name="Moneda 23 3 5" xfId="2901" xr:uid="{21D813CF-F42C-42CE-9ED6-25096349189B}"/>
    <cellStyle name="Moneda 23 3 5 2" xfId="5905" xr:uid="{C01CD993-6218-476E-80C7-F87D6929125D}"/>
    <cellStyle name="Moneda 23 3 5 2 2" xfId="13466" xr:uid="{B4F3C354-7798-4F3D-B73F-03ABFB913E4B}"/>
    <cellStyle name="Moneda 23 3 5 3" xfId="7309" xr:uid="{E0F41612-F6CB-4E6A-9B21-37600C3DC378}"/>
    <cellStyle name="Moneda 23 3 5 3 2" xfId="14838" xr:uid="{0388AEE4-6FC3-473C-8900-4126D033659F}"/>
    <cellStyle name="Moneda 23 3 5 4" xfId="10483" xr:uid="{6C592C41-958D-4DD7-A256-71A879106FFE}"/>
    <cellStyle name="Moneda 23 3 6" xfId="3025" xr:uid="{3F6EF47C-FDDD-4E34-832B-99ED019BB78D}"/>
    <cellStyle name="Moneda 23 3 6 2" xfId="6029" xr:uid="{94C27EEB-F1AD-4571-B26E-2395D8E02D37}"/>
    <cellStyle name="Moneda 23 3 6 2 2" xfId="13590" xr:uid="{D94B656C-C578-4ACD-9ECF-4A56CDDE093D}"/>
    <cellStyle name="Moneda 23 3 6 3" xfId="7433" xr:uid="{6AB935D6-69D8-4613-9D92-DA60F10F6DE4}"/>
    <cellStyle name="Moneda 23 3 6 3 2" xfId="14962" xr:uid="{47F315EF-C375-4AA0-B7D9-BA16FBABD9BB}"/>
    <cellStyle name="Moneda 23 3 6 4" xfId="10607" xr:uid="{11E6CF51-F9E6-4293-9F42-5B4F44BF6C4D}"/>
    <cellStyle name="Moneda 23 3 7" xfId="3149" xr:uid="{F92DA989-E438-433F-9968-0499A1A6B6D0}"/>
    <cellStyle name="Moneda 23 3 7 2" xfId="6153" xr:uid="{3E348F72-94E6-4499-9C3E-AB41A8FFEBCC}"/>
    <cellStyle name="Moneda 23 3 7 2 2" xfId="13714" xr:uid="{20BFF03A-51B8-4BF3-89BA-5E776008B41A}"/>
    <cellStyle name="Moneda 23 3 7 3" xfId="7557" xr:uid="{FB6715F3-B93B-4813-88E6-93EBD9B1B35E}"/>
    <cellStyle name="Moneda 23 3 7 3 2" xfId="15086" xr:uid="{9AD93174-AD27-4B22-91C3-8325FDDEAB6C}"/>
    <cellStyle name="Moneda 23 3 7 4" xfId="10731" xr:uid="{1F652EE2-EEEC-4387-95F7-4B8C882F831A}"/>
    <cellStyle name="Moneda 23 3 8" xfId="3274" xr:uid="{B2A27D9F-1568-42A3-B985-E7FD8518990E}"/>
    <cellStyle name="Moneda 23 3 8 2" xfId="6278" xr:uid="{E34D010C-D5A1-403F-94FC-5B7448A3CC53}"/>
    <cellStyle name="Moneda 23 3 8 2 2" xfId="13839" xr:uid="{B7C7E1BD-C9A4-4908-BDD5-F630DA4B4F3C}"/>
    <cellStyle name="Moneda 23 3 8 3" xfId="7682" xr:uid="{FF14ADED-EB29-41EE-88DC-D45E06505E5B}"/>
    <cellStyle name="Moneda 23 3 8 3 2" xfId="15211" xr:uid="{680FC24D-3696-4700-A4AD-13A71922F4A5}"/>
    <cellStyle name="Moneda 23 3 8 4" xfId="10856" xr:uid="{14D055AC-57F1-4ADC-9DFC-BEA02000F42D}"/>
    <cellStyle name="Moneda 23 3 9" xfId="3402" xr:uid="{F6620470-3C0D-4271-8B63-CA31099A4F6A}"/>
    <cellStyle name="Moneda 23 3 9 2" xfId="6404" xr:uid="{20628A2C-4F8A-4C55-9712-1F7B3E915D03}"/>
    <cellStyle name="Moneda 23 3 9 2 2" xfId="13965" xr:uid="{77CBDD81-F23D-4B4B-8932-6A1FD96F3972}"/>
    <cellStyle name="Moneda 23 3 9 3" xfId="7808" xr:uid="{4A420A2F-B8F5-4566-9FC4-871B4D0655CF}"/>
    <cellStyle name="Moneda 23 3 9 3 2" xfId="15337" xr:uid="{8A641B73-0A46-4B3E-9A4F-0BFB9E933EF4}"/>
    <cellStyle name="Moneda 23 3 9 4" xfId="10982" xr:uid="{C3C27535-5D20-4C72-91F9-9E6CA4E76FBB}"/>
    <cellStyle name="Moneda 23 4" xfId="1846" xr:uid="{2E28E9F1-E12B-47AF-822E-D1EEDF78F107}"/>
    <cellStyle name="Moneda 23 4 10" xfId="4805" xr:uid="{EDA12B21-5777-4893-AF37-BCB5AF894966}"/>
    <cellStyle name="Moneda 23 4 10 2" xfId="12373" xr:uid="{91BD0E2B-0EED-4A26-98E7-61DCB0468747}"/>
    <cellStyle name="Moneda 23 4 11" xfId="5452" xr:uid="{03782EE6-C6DE-4DF9-87B4-98802F39C644}"/>
    <cellStyle name="Moneda 23 4 11 2" xfId="13013" xr:uid="{3F4A40E4-C5CB-4063-9DF8-FFB9FDB4BBF3}"/>
    <cellStyle name="Moneda 23 4 12" xfId="6856" xr:uid="{28668ACF-9AC0-4E0E-9986-978D835CDE4A}"/>
    <cellStyle name="Moneda 23 4 12 2" xfId="14385" xr:uid="{10FAAC00-BC09-491E-AFD0-A09B7E2E6508}"/>
    <cellStyle name="Moneda 23 4 13" xfId="9453" xr:uid="{891517E6-8562-455A-8B49-580D1F89DA8F}"/>
    <cellStyle name="Moneda 23 4 2" xfId="2687" xr:uid="{5286747A-1AB4-49A1-BA2C-B385FB3D493A}"/>
    <cellStyle name="Moneda 23 4 2 2" xfId="6708" xr:uid="{4667B38F-A1A1-4957-B51B-8544F089B50D}"/>
    <cellStyle name="Moneda 23 4 2 2 2" xfId="8094" xr:uid="{BF9492A8-2D1D-4E51-BF49-6DA7E899F21C}"/>
    <cellStyle name="Moneda 23 4 2 2 2 2" xfId="15623" xr:uid="{F15C8313-FC7C-425A-9FD8-1B1F3834A1D7}"/>
    <cellStyle name="Moneda 23 4 2 2 3" xfId="14251" xr:uid="{7EDF5FA9-5961-4E95-9220-1418B3143783}"/>
    <cellStyle name="Moneda 23 4 2 3" xfId="5692" xr:uid="{79B0B497-066A-4138-AF81-B30E3DBCC437}"/>
    <cellStyle name="Moneda 23 4 2 3 2" xfId="13253" xr:uid="{678DD7E7-EABE-47F6-AD44-E063B1EFDF08}"/>
    <cellStyle name="Moneda 23 4 2 4" xfId="7096" xr:uid="{B1BDD1F3-A38A-4777-AE8E-C4394D9CBA05}"/>
    <cellStyle name="Moneda 23 4 2 4 2" xfId="14625" xr:uid="{61D6DDE3-DDE9-4152-80E2-50D73D556632}"/>
    <cellStyle name="Moneda 23 4 2 5" xfId="10270" xr:uid="{00546961-392E-4AED-A57D-A6399E556679}"/>
    <cellStyle name="Moneda 23 4 3" xfId="2809" xr:uid="{64A84FC3-871A-4023-92E0-8C40D89016B6}"/>
    <cellStyle name="Moneda 23 4 3 2" xfId="5814" xr:uid="{579660F3-99A1-48A3-9A83-76A77F0335FC}"/>
    <cellStyle name="Moneda 23 4 3 2 2" xfId="13375" xr:uid="{DF7D1F9B-B8C8-4CD8-9A18-D0FEBFEEC1C7}"/>
    <cellStyle name="Moneda 23 4 3 3" xfId="7218" xr:uid="{E5BAF5FD-0C1D-44ED-ADA5-3303D67DF88C}"/>
    <cellStyle name="Moneda 23 4 3 3 2" xfId="14747" xr:uid="{85C3AA6C-600D-489F-A3C8-B7F4BFFFBCEE}"/>
    <cellStyle name="Moneda 23 4 3 4" xfId="10392" xr:uid="{A1DE5A56-3D95-4A37-977C-2EA77023B78B}"/>
    <cellStyle name="Moneda 23 4 4" xfId="2934" xr:uid="{CF9B6F88-B262-4530-BB62-2E694D61BFF5}"/>
    <cellStyle name="Moneda 23 4 4 2" xfId="5938" xr:uid="{D138448B-E95E-490B-AF25-9E5E95076058}"/>
    <cellStyle name="Moneda 23 4 4 2 2" xfId="13499" xr:uid="{A7487711-9B76-428E-B5F4-3953264887F2}"/>
    <cellStyle name="Moneda 23 4 4 3" xfId="7342" xr:uid="{5702EEE0-1B91-47BF-8D65-6DA74A5F688B}"/>
    <cellStyle name="Moneda 23 4 4 3 2" xfId="14871" xr:uid="{A7260D0E-C156-4236-80A4-937D1E1BACE9}"/>
    <cellStyle name="Moneda 23 4 4 4" xfId="10516" xr:uid="{EB5FBFBD-593B-4DC1-B58B-8EC53DD57876}"/>
    <cellStyle name="Moneda 23 4 5" xfId="3058" xr:uid="{A90EEC79-8607-432B-80EE-A3C12905D2D3}"/>
    <cellStyle name="Moneda 23 4 5 2" xfId="6062" xr:uid="{A6E7C7DE-F05D-47FA-87D5-3B5CA1234D2A}"/>
    <cellStyle name="Moneda 23 4 5 2 2" xfId="13623" xr:uid="{19DC02C2-1908-458B-83BF-9A673AEC0ADE}"/>
    <cellStyle name="Moneda 23 4 5 3" xfId="7466" xr:uid="{D564FA26-2C98-4538-9B90-3E464A41CDE4}"/>
    <cellStyle name="Moneda 23 4 5 3 2" xfId="14995" xr:uid="{E6A607EC-81AF-4A4C-A2C0-6770C9C8C1C6}"/>
    <cellStyle name="Moneda 23 4 5 4" xfId="10640" xr:uid="{4083CE68-3445-41EC-B8B2-7EA3167B74E8}"/>
    <cellStyle name="Moneda 23 4 6" xfId="3182" xr:uid="{B014DF2F-0481-4886-98FF-35B3A2E9B581}"/>
    <cellStyle name="Moneda 23 4 6 2" xfId="6186" xr:uid="{683DD918-692C-47A5-8F35-A6636E89BF4A}"/>
    <cellStyle name="Moneda 23 4 6 2 2" xfId="13747" xr:uid="{13DE3B2A-DA94-4F0E-A01E-A17F037CDBCC}"/>
    <cellStyle name="Moneda 23 4 6 3" xfId="7590" xr:uid="{CCF9F919-F087-4FC7-B00F-CD908BB249A5}"/>
    <cellStyle name="Moneda 23 4 6 3 2" xfId="15119" xr:uid="{DF0B97F1-A5A8-48A2-A96E-D88BD68C85A3}"/>
    <cellStyle name="Moneda 23 4 6 4" xfId="10764" xr:uid="{B019F869-4BED-446E-87C4-D286317C56E6}"/>
    <cellStyle name="Moneda 23 4 7" xfId="3307" xr:uid="{373661E7-02C5-46B1-869A-17A7D06900E3}"/>
    <cellStyle name="Moneda 23 4 7 2" xfId="6311" xr:uid="{D0092A08-BE03-47C2-BA6C-CBAC48FF8FB3}"/>
    <cellStyle name="Moneda 23 4 7 2 2" xfId="13872" xr:uid="{3779A000-3D93-493F-8F98-CFB2BA6CABB9}"/>
    <cellStyle name="Moneda 23 4 7 3" xfId="7715" xr:uid="{A0F13713-E32C-45F6-9E17-993B0EB556AB}"/>
    <cellStyle name="Moneda 23 4 7 3 2" xfId="15244" xr:uid="{93733361-CCF1-45FD-B78E-F65FD9197F00}"/>
    <cellStyle name="Moneda 23 4 7 4" xfId="10889" xr:uid="{6EA29190-83A8-4D93-9962-5EFE3B196A0B}"/>
    <cellStyle name="Moneda 23 4 8" xfId="3435" xr:uid="{82A5B5C3-2441-4397-8E00-BE37BFD1948D}"/>
    <cellStyle name="Moneda 23 4 8 2" xfId="6437" xr:uid="{77A4214E-5452-4B18-8F46-A79E6EA96482}"/>
    <cellStyle name="Moneda 23 4 8 2 2" xfId="13998" xr:uid="{75CA7053-498D-43B1-AC4B-B2C409CAB315}"/>
    <cellStyle name="Moneda 23 4 8 3" xfId="7841" xr:uid="{A760DFE5-4D14-403B-9A69-6DE7B78FF6CC}"/>
    <cellStyle name="Moneda 23 4 8 3 2" xfId="15370" xr:uid="{382DC02F-3C6A-4D7A-8D42-42A5A33A2D87}"/>
    <cellStyle name="Moneda 23 4 8 4" xfId="11015" xr:uid="{DC52442B-0FC5-4D8B-BC4B-794E844EEF22}"/>
    <cellStyle name="Moneda 23 4 9" xfId="2442" xr:uid="{9F7BB230-E7DC-43A2-AFE4-13DD45AF3867}"/>
    <cellStyle name="Moneda 23 4 9 2" xfId="6573" xr:uid="{780C9BFB-5717-4BCE-B2A9-CF6C6DBA2F61}"/>
    <cellStyle name="Moneda 23 4 9 2 2" xfId="14129" xr:uid="{91465C2B-5FBB-48C1-A8C6-DCD47488EAFD}"/>
    <cellStyle name="Moneda 23 4 9 3" xfId="7972" xr:uid="{AFD6CEF1-D168-4DC6-A501-0C585A4086FC}"/>
    <cellStyle name="Moneda 23 4 9 3 2" xfId="15501" xr:uid="{803A088D-DF0B-42C1-B28A-4B772B0F6CE1}"/>
    <cellStyle name="Moneda 23 4 9 4" xfId="10030" xr:uid="{DAB8101D-0C3A-4B63-B22E-BCD200F05199}"/>
    <cellStyle name="Moneda 23 5" xfId="2475" xr:uid="{8E6EFEBF-0990-46E8-8559-2D4929246F4B}"/>
    <cellStyle name="Moneda 23 5 10" xfId="5481" xr:uid="{0B8A27F9-2B8C-4B97-901E-646E7D1E0747}"/>
    <cellStyle name="Moneda 23 5 10 2" xfId="13042" xr:uid="{6C662046-46D4-4212-8CD8-716E7698CC0F}"/>
    <cellStyle name="Moneda 23 5 11" xfId="6885" xr:uid="{A3DDAE20-D762-4A16-852E-0B059BC61A25}"/>
    <cellStyle name="Moneda 23 5 11 2" xfId="14414" xr:uid="{84D9D1FE-A937-40BA-9903-3A4E89C47E5F}"/>
    <cellStyle name="Moneda 23 5 12" xfId="10059" xr:uid="{57F7BD71-31B2-4042-A5B5-583FC33F8901}"/>
    <cellStyle name="Moneda 23 5 2" xfId="2596" xr:uid="{8497AE8B-3365-417F-8BA2-9FE0F112F1E4}"/>
    <cellStyle name="Moneda 23 5 2 2" xfId="6617" xr:uid="{3D65831A-B3E9-4487-B4A4-6722B2E1F14E}"/>
    <cellStyle name="Moneda 23 5 2 2 2" xfId="8003" xr:uid="{85D0179C-500F-41EF-8AA6-CC5F6947700A}"/>
    <cellStyle name="Moneda 23 5 2 2 2 2" xfId="15532" xr:uid="{C5A9F5D1-390D-41B0-B2B9-7BCFE796E491}"/>
    <cellStyle name="Moneda 23 5 2 2 3" xfId="14160" xr:uid="{D8577B64-333A-4092-A639-2666DB47704B}"/>
    <cellStyle name="Moneda 23 5 2 3" xfId="5601" xr:uid="{011DFF13-1ACB-42D4-B552-066EBCB44FA4}"/>
    <cellStyle name="Moneda 23 5 2 3 2" xfId="13162" xr:uid="{4CE88155-6168-40E5-A32B-BA354AE864C2}"/>
    <cellStyle name="Moneda 23 5 2 4" xfId="7005" xr:uid="{EEC4E74B-F92F-4956-A827-B303A5396CA8}"/>
    <cellStyle name="Moneda 23 5 2 4 2" xfId="14534" xr:uid="{90C718C5-A033-4EF7-A055-0D11D4BB0A0F}"/>
    <cellStyle name="Moneda 23 5 2 5" xfId="10179" xr:uid="{E190C789-5A02-49EA-BD82-8ACB675069A1}"/>
    <cellStyle name="Moneda 23 5 3" xfId="2718" xr:uid="{71CA7AFA-C248-4620-82FD-4C0450BA304D}"/>
    <cellStyle name="Moneda 23 5 3 2" xfId="5723" xr:uid="{70F96F7E-ADE5-4C93-9F7F-380B659197E3}"/>
    <cellStyle name="Moneda 23 5 3 2 2" xfId="13284" xr:uid="{5D72EC0B-AD38-4D4C-998F-2C021C7DA686}"/>
    <cellStyle name="Moneda 23 5 3 3" xfId="7127" xr:uid="{48EE6D61-0A08-439F-8ABA-7700AA1F8008}"/>
    <cellStyle name="Moneda 23 5 3 3 2" xfId="14656" xr:uid="{608A3894-3FD9-46F6-AFAD-5DCBD35255BE}"/>
    <cellStyle name="Moneda 23 5 3 4" xfId="10301" xr:uid="{7D317BC9-D069-4DB8-856D-682A0CBE3778}"/>
    <cellStyle name="Moneda 23 5 4" xfId="2843" xr:uid="{27DD03E4-1061-471E-A7E0-EEE57504E926}"/>
    <cellStyle name="Moneda 23 5 4 2" xfId="5847" xr:uid="{2F1D5DA0-AF98-4C08-B010-80EFDDB87A23}"/>
    <cellStyle name="Moneda 23 5 4 2 2" xfId="13408" xr:uid="{47B2D299-66B3-4243-A65B-0A42885CC046}"/>
    <cellStyle name="Moneda 23 5 4 3" xfId="7251" xr:uid="{6AD8B996-6803-4452-A846-ADF7CACAEA9C}"/>
    <cellStyle name="Moneda 23 5 4 3 2" xfId="14780" xr:uid="{D1C1A502-27F4-43B2-8F5A-949051F21108}"/>
    <cellStyle name="Moneda 23 5 4 4" xfId="10425" xr:uid="{E0B28967-5D0F-4144-BB0E-2F8126F39EB5}"/>
    <cellStyle name="Moneda 23 5 5" xfId="2967" xr:uid="{B2E77BEC-E8E7-479E-9240-762226259169}"/>
    <cellStyle name="Moneda 23 5 5 2" xfId="5971" xr:uid="{125337F1-B40B-45F9-A6DC-F871D02E7557}"/>
    <cellStyle name="Moneda 23 5 5 2 2" xfId="13532" xr:uid="{67A2B852-6182-4E5C-9C7F-7C4845F52628}"/>
    <cellStyle name="Moneda 23 5 5 3" xfId="7375" xr:uid="{6CD6904B-16D5-43C9-B936-131739370B35}"/>
    <cellStyle name="Moneda 23 5 5 3 2" xfId="14904" xr:uid="{551EF7DA-80F2-4CD6-9039-56D88E1AD49E}"/>
    <cellStyle name="Moneda 23 5 5 4" xfId="10549" xr:uid="{7414E20C-417E-4F46-8D5A-CB507B2D6826}"/>
    <cellStyle name="Moneda 23 5 6" xfId="3091" xr:uid="{FC33C1F0-1E10-4F8E-A42E-78172A4EDD5B}"/>
    <cellStyle name="Moneda 23 5 6 2" xfId="6095" xr:uid="{CEDA706A-327F-4B2E-BE51-53B59A075CD0}"/>
    <cellStyle name="Moneda 23 5 6 2 2" xfId="13656" xr:uid="{8C41C92E-2600-4414-BBC4-2A466CA8003D}"/>
    <cellStyle name="Moneda 23 5 6 3" xfId="7499" xr:uid="{F219703C-88DE-4C8B-BD0E-527EEE02B10B}"/>
    <cellStyle name="Moneda 23 5 6 3 2" xfId="15028" xr:uid="{D50E81F0-7BC1-405C-9353-8BB795EC56D2}"/>
    <cellStyle name="Moneda 23 5 6 4" xfId="10673" xr:uid="{61A891D4-226A-4858-B2AB-E353E4DA8802}"/>
    <cellStyle name="Moneda 23 5 7" xfId="3216" xr:uid="{A548CDA9-0EC2-429B-ACD7-270BC17AFD28}"/>
    <cellStyle name="Moneda 23 5 7 2" xfId="6220" xr:uid="{A33AED1A-9774-4F6D-808B-755D35B3FACF}"/>
    <cellStyle name="Moneda 23 5 7 2 2" xfId="13781" xr:uid="{0EE2C388-6B2C-42A8-8D0F-76F356734893}"/>
    <cellStyle name="Moneda 23 5 7 3" xfId="7624" xr:uid="{EC20B9D3-2F3B-4BE2-B554-BF1ED7A2419C}"/>
    <cellStyle name="Moneda 23 5 7 3 2" xfId="15153" xr:uid="{3AADE27A-AEB6-493E-9F85-1C0EC4D2C753}"/>
    <cellStyle name="Moneda 23 5 7 4" xfId="10798" xr:uid="{13B442E5-9DCD-4511-949A-6A034AC665C1}"/>
    <cellStyle name="Moneda 23 5 8" xfId="3344" xr:uid="{1D4E0872-0D8C-4C89-AA6B-485FC032AC73}"/>
    <cellStyle name="Moneda 23 5 8 2" xfId="6346" xr:uid="{88C6E604-0801-4334-BC94-A9C70DF7CF6F}"/>
    <cellStyle name="Moneda 23 5 8 2 2" xfId="13907" xr:uid="{EAC4C9FD-C2D5-4615-A19F-CB2CBC158C85}"/>
    <cellStyle name="Moneda 23 5 8 3" xfId="7750" xr:uid="{C203D666-ED56-40C2-88B7-A3AD38EBE668}"/>
    <cellStyle name="Moneda 23 5 8 3 2" xfId="15279" xr:uid="{49790A70-9180-4B1B-962B-0956309ED031}"/>
    <cellStyle name="Moneda 23 5 8 4" xfId="10924" xr:uid="{AE728A3B-B2CD-4883-AA7A-BEFDF7393F1A}"/>
    <cellStyle name="Moneda 23 5 9" xfId="6482" xr:uid="{9700985A-5ADC-4003-B61C-DA6A2159B29E}"/>
    <cellStyle name="Moneda 23 5 9 2" xfId="7881" xr:uid="{F85E3D4B-3328-48F2-BF09-F411C6174726}"/>
    <cellStyle name="Moneda 23 5 9 2 2" xfId="15410" xr:uid="{81B1F5E1-7665-49A9-8E9B-3A50F1235566}"/>
    <cellStyle name="Moneda 23 5 9 3" xfId="14038" xr:uid="{3FEF432C-D230-48FD-A50F-F3D2B598BA00}"/>
    <cellStyle name="Moneda 23 6" xfId="2568" xr:uid="{7C1052AA-BCE9-4FF0-934C-566C9FC43D46}"/>
    <cellStyle name="Moneda 23 6 2" xfId="6452" xr:uid="{CE654BE0-F09E-434F-9CD3-CFF846296E2C}"/>
    <cellStyle name="Moneda 23 6 2 2" xfId="7853" xr:uid="{8B79731F-BA70-4ED2-AFF0-C0F857AD9202}"/>
    <cellStyle name="Moneda 23 6 2 2 2" xfId="15382" xr:uid="{256E8D70-1D8F-478C-8165-1079F9D5E96C}"/>
    <cellStyle name="Moneda 23 6 2 3" xfId="14010" xr:uid="{4D965092-7DBC-4BB1-A0C4-F7B608E2FE68}"/>
    <cellStyle name="Moneda 23 6 3" xfId="5573" xr:uid="{871402BA-4786-4E7D-8840-E2850E577C88}"/>
    <cellStyle name="Moneda 23 6 3 2" xfId="13134" xr:uid="{689169E6-01A0-452C-A60E-DED264B041EB}"/>
    <cellStyle name="Moneda 23 6 4" xfId="6977" xr:uid="{68FBB892-F8EC-4E0E-882E-45D07641B6F9}"/>
    <cellStyle name="Moneda 23 6 4 2" xfId="14506" xr:uid="{8B238F2C-FD4D-4158-B6AA-2E0D42464E3D}"/>
    <cellStyle name="Moneda 23 6 5" xfId="10151" xr:uid="{ED462660-9FBD-43A4-A8FD-15A3A0DD68A8}"/>
    <cellStyle name="Moneda 23 7" xfId="2690" xr:uid="{9FD6E4A2-1AE2-41D6-93AB-64F892A41C0F}"/>
    <cellStyle name="Moneda 23 7 2" xfId="6577" xr:uid="{B49A5D1E-13B3-425C-AA38-D48B058F5304}"/>
    <cellStyle name="Moneda 23 7 2 2" xfId="7975" xr:uid="{69FC0D28-8BDD-436E-81A5-FD7ABAD1832B}"/>
    <cellStyle name="Moneda 23 7 2 2 2" xfId="15504" xr:uid="{E0E7AAB5-6C8D-4663-919F-FCF8A3435CFF}"/>
    <cellStyle name="Moneda 23 7 2 3" xfId="14132" xr:uid="{654A1040-8389-4AEF-8CF2-EA744E7DF4C6}"/>
    <cellStyle name="Moneda 23 7 3" xfId="5695" xr:uid="{E74E4AD3-6A62-4820-A359-BD676AD2DFB9}"/>
    <cellStyle name="Moneda 23 7 3 2" xfId="13256" xr:uid="{E1814F9A-9F1F-4BD1-9164-CDAF2BE6E403}"/>
    <cellStyle name="Moneda 23 7 4" xfId="7099" xr:uid="{CC468470-9A33-4D10-8EA2-A8A0D59701CE}"/>
    <cellStyle name="Moneda 23 7 4 2" xfId="14628" xr:uid="{34A3FB4E-648A-417C-838E-F2B3D95ABD30}"/>
    <cellStyle name="Moneda 23 7 5" xfId="10273" xr:uid="{B5551DAD-8AC5-4314-B52C-0882B2E90361}"/>
    <cellStyle name="Moneda 23 8" xfId="2815" xr:uid="{71EEE041-1665-4EA0-B99C-D6D58C6E9E32}"/>
    <cellStyle name="Moneda 23 8 2" xfId="5819" xr:uid="{34EF29DC-3871-4E3E-B7BE-231416554179}"/>
    <cellStyle name="Moneda 23 8 2 2" xfId="13380" xr:uid="{7D2D713D-19B3-40E8-BFEF-B99DF5611B8C}"/>
    <cellStyle name="Moneda 23 8 3" xfId="7223" xr:uid="{DDA4F756-16D9-4195-88D8-C0746A1035E1}"/>
    <cellStyle name="Moneda 23 8 3 2" xfId="14752" xr:uid="{229D7D68-A880-4B4E-95F9-37F4E8079A39}"/>
    <cellStyle name="Moneda 23 8 4" xfId="10397" xr:uid="{2060B051-3D89-4290-A275-9773E7EB61D1}"/>
    <cellStyle name="Moneda 23 9" xfId="2939" xr:uid="{B5FC753A-B9F9-466B-A167-B24E0407A466}"/>
    <cellStyle name="Moneda 23 9 2" xfId="5943" xr:uid="{4FFCB5F4-5787-4706-8F94-983B3E552AFC}"/>
    <cellStyle name="Moneda 23 9 2 2" xfId="13504" xr:uid="{9CD7CA20-3189-4D19-A597-AED1E15DC85D}"/>
    <cellStyle name="Moneda 23 9 3" xfId="7347" xr:uid="{F47D09A8-7F62-46C1-9463-42C8E240ED7D}"/>
    <cellStyle name="Moneda 23 9 3 2" xfId="14876" xr:uid="{3707706B-F649-40B7-B74D-B6AAF9DA6F29}"/>
    <cellStyle name="Moneda 23 9 4" xfId="10521" xr:uid="{923B7AA4-EAA0-4D82-8290-BA624A4F9131}"/>
    <cellStyle name="Moneda 230" xfId="875" xr:uid="{B46FD36D-0CC9-41A5-A4D6-B4F1FC811728}"/>
    <cellStyle name="Moneda 230 2" xfId="1035" xr:uid="{4068E5A6-6DAB-40A8-98C1-84D13055E1FE}"/>
    <cellStyle name="Moneda 230 2 2" xfId="4002" xr:uid="{7EBFAD8E-FC99-4B2B-B15A-929ABFE0E9D9}"/>
    <cellStyle name="Moneda 230 2 2 2" xfId="11570" xr:uid="{4A744824-4B67-4959-BC49-43B4BC172813}"/>
    <cellStyle name="Moneda 230 2 3" xfId="8650" xr:uid="{D0C312FF-CF4B-4973-A7D3-0726B234931E}"/>
    <cellStyle name="Moneda 230 3" xfId="2260" xr:uid="{B02F36FD-8E24-4DE7-8958-D6ED28F687A2}"/>
    <cellStyle name="Moneda 230 3 2" xfId="5219" xr:uid="{BBB43E54-874C-445D-826F-8CFB93CCCBF0}"/>
    <cellStyle name="Moneda 230 3 2 2" xfId="12787" xr:uid="{7BAAAF6E-FE38-4EA4-8EE5-AFE212734AE4}"/>
    <cellStyle name="Moneda 230 3 3" xfId="9867" xr:uid="{ED73AA94-EFA7-48C2-8829-174143C5BD8E}"/>
    <cellStyle name="Moneda 230 4" xfId="3946" xr:uid="{90F87327-B744-4448-96D2-A767518B306A}"/>
    <cellStyle name="Moneda 230 4 2" xfId="11514" xr:uid="{87E2E06C-6A36-4D08-8601-6CE65AE97A6C}"/>
    <cellStyle name="Moneda 230 5" xfId="8594" xr:uid="{7CBB48CF-4C6B-4247-9C1D-873CB62A5638}"/>
    <cellStyle name="Moneda 231" xfId="180" xr:uid="{6C0D7D9D-D1DF-4722-8FD9-6A8B4556DAD0}"/>
    <cellStyle name="Moneda 231 10" xfId="3215" xr:uid="{764562BE-94DD-432B-823C-D5C63BCE42ED}"/>
    <cellStyle name="Moneda 231 10 2" xfId="6219" xr:uid="{3B799013-01C7-44C8-8525-E00D0C377128}"/>
    <cellStyle name="Moneda 231 10 2 2" xfId="13780" xr:uid="{8A1DEF74-324A-4E96-AAB8-22A775791E96}"/>
    <cellStyle name="Moneda 231 10 3" xfId="7623" xr:uid="{77F142B9-2C70-4234-87FC-887AA9C3CE1C}"/>
    <cellStyle name="Moneda 231 10 3 2" xfId="15152" xr:uid="{D1A50BFC-7501-47F6-8526-182090FECDF4}"/>
    <cellStyle name="Moneda 231 10 4" xfId="10797" xr:uid="{B5BB40AB-CFEA-453F-8C2F-B9E59AA4E916}"/>
    <cellStyle name="Moneda 231 11" xfId="3343" xr:uid="{9E24BE90-E322-4B74-8C76-A62671FCC0D1}"/>
    <cellStyle name="Moneda 231 11 2" xfId="6345" xr:uid="{2C898E65-6DED-4D83-ADE7-4E35B76F333B}"/>
    <cellStyle name="Moneda 231 11 2 2" xfId="13906" xr:uid="{BFBE6F4D-A4B5-42F6-9EB8-803A043A0BF3}"/>
    <cellStyle name="Moneda 231 11 3" xfId="7749" xr:uid="{F43A5A5D-1D80-47D0-A082-1FF1561A6CCD}"/>
    <cellStyle name="Moneda 231 11 3 2" xfId="15278" xr:uid="{A7C6C67E-848E-468A-9829-FED011B3C5C2}"/>
    <cellStyle name="Moneda 231 11 4" xfId="10923" xr:uid="{2D5E8502-577D-4C2D-8C13-05CC3DC81B0A}"/>
    <cellStyle name="Moneda 231 12" xfId="2342" xr:uid="{A867936A-B4D7-4223-B73E-9E3B4EDF0545}"/>
    <cellStyle name="Moneda 231 12 2" xfId="6481" xr:uid="{587AB5EB-50EE-44A5-8D05-8A3C67F49BBF}"/>
    <cellStyle name="Moneda 231 12 2 2" xfId="14037" xr:uid="{A7DA0105-4E6E-4260-9C46-10DB579C314E}"/>
    <cellStyle name="Moneda 231 12 3" xfId="7880" xr:uid="{F3EC2B9A-0E64-441E-8839-88B12E63B907}"/>
    <cellStyle name="Moneda 231 12 3 2" xfId="15409" xr:uid="{48D1FFA8-1942-4722-80C1-65D5A2BC47A8}"/>
    <cellStyle name="Moneda 231 12 4" xfId="9938" xr:uid="{54B27634-1A9A-47CD-B356-B6A361775582}"/>
    <cellStyle name="Moneda 231 13" xfId="3486" xr:uid="{6E9CB556-42DA-48A3-AFF1-BD06AAE457B7}"/>
    <cellStyle name="Moneda 231 13 2" xfId="11054" xr:uid="{4ADA369E-58A3-4BC8-9CDD-E140185B52DC}"/>
    <cellStyle name="Moneda 231 14" xfId="5360" xr:uid="{673853AE-A325-4AC7-B1EC-92979D0FEDD1}"/>
    <cellStyle name="Moneda 231 14 2" xfId="12921" xr:uid="{0B5A7787-ACD7-416F-B193-0E5D02BA3288}"/>
    <cellStyle name="Moneda 231 15" xfId="6764" xr:uid="{D7828521-E39C-463F-9489-B461FA39D9B1}"/>
    <cellStyle name="Moneda 231 15 2" xfId="14293" xr:uid="{83067C32-BA15-4CA6-BAE8-62D1CFED87F3}"/>
    <cellStyle name="Moneda 231 16" xfId="8134" xr:uid="{7D978015-4760-42AF-B475-88E3CEEBA7BE}"/>
    <cellStyle name="Moneda 231 2" xfId="878" xr:uid="{19188D5B-8A0F-49EA-85F6-F231401C711B}"/>
    <cellStyle name="Moneda 231 2 10" xfId="3373" xr:uid="{DC5BA449-A975-403C-99BE-D544166BA496}"/>
    <cellStyle name="Moneda 231 2 10 2" xfId="6375" xr:uid="{E3FFB8A9-82C0-409F-B07C-5926532851C8}"/>
    <cellStyle name="Moneda 231 2 10 2 2" xfId="13936" xr:uid="{D83B320B-83EC-407A-9111-D4FB1BF44DA2}"/>
    <cellStyle name="Moneda 231 2 10 3" xfId="7779" xr:uid="{FBF46128-5A95-46CA-85AB-455200E5E6BB}"/>
    <cellStyle name="Moneda 231 2 10 3 2" xfId="15308" xr:uid="{0305C9C4-4F0B-4F59-A76F-139D1BDBD2AD}"/>
    <cellStyle name="Moneda 231 2 10 4" xfId="10953" xr:uid="{2672AC17-B1C1-42E4-A19D-F3995CDF93B9}"/>
    <cellStyle name="Moneda 231 2 11" xfId="2378" xr:uid="{9F6B1340-64AA-4ED8-90FC-B92A13536023}"/>
    <cellStyle name="Moneda 231 2 11 2" xfId="6511" xr:uid="{DC9F039A-F8F6-4BCD-9765-0B84929A2B29}"/>
    <cellStyle name="Moneda 231 2 11 2 2" xfId="14067" xr:uid="{41A0009D-6E52-4CF6-A9A8-528773F51E47}"/>
    <cellStyle name="Moneda 231 2 11 3" xfId="7910" xr:uid="{95243F57-0067-42BB-914A-C58F7E146154}"/>
    <cellStyle name="Moneda 231 2 11 3 2" xfId="15439" xr:uid="{AC3C911E-C9C7-4355-8C55-465986D2CD48}"/>
    <cellStyle name="Moneda 231 2 11 4" xfId="9968" xr:uid="{3FF652B8-5190-4A0A-8C85-FE4ECBAF4000}"/>
    <cellStyle name="Moneda 231 2 12" xfId="3948" xr:uid="{8EF8D39C-EFD6-42F7-B397-B46C0BD4A16C}"/>
    <cellStyle name="Moneda 231 2 12 2" xfId="11516" xr:uid="{429AECCE-E050-4FD2-947F-FDE952E7D99F}"/>
    <cellStyle name="Moneda 231 2 13" xfId="5390" xr:uid="{A8825F51-7535-4CC6-BC4E-4A698DF27EBD}"/>
    <cellStyle name="Moneda 231 2 13 2" xfId="12951" xr:uid="{DD046F8D-6202-41A7-8CD5-81ABDDCC669A}"/>
    <cellStyle name="Moneda 231 2 14" xfId="6794" xr:uid="{6FE337BF-B734-4D79-B4F2-C324FEAA2C82}"/>
    <cellStyle name="Moneda 231 2 14 2" xfId="14323" xr:uid="{768E7640-C249-42FC-B3EF-B66BEF9875F4}"/>
    <cellStyle name="Moneda 231 2 15" xfId="8596" xr:uid="{A6AEC15B-C840-49D2-94A2-CCCD49308D03}"/>
    <cellStyle name="Moneda 231 2 2" xfId="2438" xr:uid="{C20672DB-F6B0-4CB0-945C-E232E346A7D1}"/>
    <cellStyle name="Moneda 231 2 2 10" xfId="6569" xr:uid="{F1ABD039-8273-433F-B41F-C5301B1AE323}"/>
    <cellStyle name="Moneda 231 2 2 10 2" xfId="7968" xr:uid="{492CCD8F-5EC7-4736-895A-E4A86E4399B3}"/>
    <cellStyle name="Moneda 231 2 2 10 2 2" xfId="15497" xr:uid="{6F326D58-31C7-44A1-BB1C-A79CE84FFF0F}"/>
    <cellStyle name="Moneda 231 2 2 10 3" xfId="14125" xr:uid="{3CF5032D-10B7-4FA9-9195-8A6EABD9F493}"/>
    <cellStyle name="Moneda 231 2 2 11" xfId="5448" xr:uid="{E8AFAEDF-B2AE-4E49-A67F-69AFA0BC9CBE}"/>
    <cellStyle name="Moneda 231 2 2 11 2" xfId="13009" xr:uid="{3D9E9D44-DDE7-4113-8867-478E6D1D1930}"/>
    <cellStyle name="Moneda 231 2 2 12" xfId="6852" xr:uid="{F892C7EC-39FF-4C6E-A508-B2AD2EBA2DEC}"/>
    <cellStyle name="Moneda 231 2 2 12 2" xfId="14381" xr:uid="{F6B641BA-1893-4D34-88BC-8829E7C974DC}"/>
    <cellStyle name="Moneda 231 2 2 13" xfId="10026" xr:uid="{70978237-223D-4A63-B9CD-BA664EC334FC}"/>
    <cellStyle name="Moneda 231 2 2 2" xfId="2562" xr:uid="{5A5E8EDE-6877-4378-A179-E1AF63D71A24}"/>
    <cellStyle name="Moneda 231 2 2 2 2" xfId="6704" xr:uid="{C6906030-10BB-4B44-8399-1E2F8871F69D}"/>
    <cellStyle name="Moneda 231 2 2 2 2 2" xfId="8090" xr:uid="{63ECAF78-A803-44D5-BBEA-B754F7059A35}"/>
    <cellStyle name="Moneda 231 2 2 2 2 2 2" xfId="15619" xr:uid="{BDC75D72-5EAD-4942-9F1E-A1E982048698}"/>
    <cellStyle name="Moneda 231 2 2 2 2 3" xfId="14247" xr:uid="{762BCFF7-4AA6-4BDC-9EBE-693B358D8173}"/>
    <cellStyle name="Moneda 231 2 2 2 3" xfId="5568" xr:uid="{7FB1AD03-B538-415C-A044-25A446E404B8}"/>
    <cellStyle name="Moneda 231 2 2 2 3 2" xfId="13129" xr:uid="{BA0914E8-06E6-47FD-BA3F-842B30FCE126}"/>
    <cellStyle name="Moneda 231 2 2 2 4" xfId="6972" xr:uid="{2CBFEC03-0A4E-4DE3-8628-700AD1FDE02C}"/>
    <cellStyle name="Moneda 231 2 2 2 4 2" xfId="14501" xr:uid="{E82DEE6B-8147-414E-9FBA-0D6C2A82EE61}"/>
    <cellStyle name="Moneda 231 2 2 2 5" xfId="10146" xr:uid="{0288F423-C6AD-498C-93FD-FBCA0E4C8E97}"/>
    <cellStyle name="Moneda 231 2 2 3" xfId="2683" xr:uid="{0225B2A3-2414-4207-8EE9-68159D2BBDDA}"/>
    <cellStyle name="Moneda 231 2 2 3 2" xfId="5688" xr:uid="{7638A7FF-3B6B-4055-9311-E9F842A92E2D}"/>
    <cellStyle name="Moneda 231 2 2 3 2 2" xfId="13249" xr:uid="{8AE4A1CF-5620-4361-A6B0-8EAC7B2D7FF2}"/>
    <cellStyle name="Moneda 231 2 2 3 3" xfId="7092" xr:uid="{B63D490B-D0E5-46E5-9138-5FF97E0FB16D}"/>
    <cellStyle name="Moneda 231 2 2 3 3 2" xfId="14621" xr:uid="{5C706914-F217-4B10-86B9-FC8B2FF57A9F}"/>
    <cellStyle name="Moneda 231 2 2 3 4" xfId="10266" xr:uid="{E9898B9C-5483-4123-AC38-4E9DFBC080D1}"/>
    <cellStyle name="Moneda 231 2 2 4" xfId="2805" xr:uid="{1F4B106D-1F7B-484E-BC3E-4B5B48DB4635}"/>
    <cellStyle name="Moneda 231 2 2 4 2" xfId="5810" xr:uid="{6C35ACE8-4452-41D6-B145-62CA03CDBCB9}"/>
    <cellStyle name="Moneda 231 2 2 4 2 2" xfId="13371" xr:uid="{10B473CF-0C42-4F62-A2FD-E7C552942310}"/>
    <cellStyle name="Moneda 231 2 2 4 3" xfId="7214" xr:uid="{8A16F6D7-9908-42BA-B795-2DD90D2E3BC1}"/>
    <cellStyle name="Moneda 231 2 2 4 3 2" xfId="14743" xr:uid="{53851ED5-F7DF-4803-87E0-FCAE9C20CF1E}"/>
    <cellStyle name="Moneda 231 2 2 4 4" xfId="10388" xr:uid="{60E76F66-86F2-46D7-8F50-68E9C81C92E3}"/>
    <cellStyle name="Moneda 231 2 2 5" xfId="2930" xr:uid="{D55A485C-1002-4A58-BD77-F6609609C74C}"/>
    <cellStyle name="Moneda 231 2 2 5 2" xfId="5934" xr:uid="{ECD9A0A4-E25E-4065-B033-D10F0307B384}"/>
    <cellStyle name="Moneda 231 2 2 5 2 2" xfId="13495" xr:uid="{C59961EC-9E34-4470-8072-BE58677CE971}"/>
    <cellStyle name="Moneda 231 2 2 5 3" xfId="7338" xr:uid="{795F28F2-279A-4D77-BF43-6E0445ADAA7D}"/>
    <cellStyle name="Moneda 231 2 2 5 3 2" xfId="14867" xr:uid="{504D7682-58F6-42AA-9827-B65EA3412660}"/>
    <cellStyle name="Moneda 231 2 2 5 4" xfId="10512" xr:uid="{DA4BDE84-2FFB-4BD4-A51C-CAB1BEE7A61C}"/>
    <cellStyle name="Moneda 231 2 2 6" xfId="3054" xr:uid="{369B8A7C-226C-4DD2-BCA6-AEAF77E0C6E9}"/>
    <cellStyle name="Moneda 231 2 2 6 2" xfId="6058" xr:uid="{AEE1F679-025A-43A6-9153-14879E5A8072}"/>
    <cellStyle name="Moneda 231 2 2 6 2 2" xfId="13619" xr:uid="{852B38A2-2B3D-4056-A2BE-4104DA79AACA}"/>
    <cellStyle name="Moneda 231 2 2 6 3" xfId="7462" xr:uid="{0E87BECF-D436-4533-9468-C88187DD8BAC}"/>
    <cellStyle name="Moneda 231 2 2 6 3 2" xfId="14991" xr:uid="{407C6359-1FA6-4264-AED9-C07025E73835}"/>
    <cellStyle name="Moneda 231 2 2 6 4" xfId="10636" xr:uid="{BFD1C735-DCEA-4D60-947F-A9264ACD84D3}"/>
    <cellStyle name="Moneda 231 2 2 7" xfId="3178" xr:uid="{8375A5A2-0AF8-4807-977F-4AC622323840}"/>
    <cellStyle name="Moneda 231 2 2 7 2" xfId="6182" xr:uid="{9A34FD4F-EBE4-4849-AE81-067F689D0168}"/>
    <cellStyle name="Moneda 231 2 2 7 2 2" xfId="13743" xr:uid="{25AB7CBB-D638-4AB9-AAA8-35EE2F390133}"/>
    <cellStyle name="Moneda 231 2 2 7 3" xfId="7586" xr:uid="{87A8800A-B1F5-4CC6-83A1-049449A93DE3}"/>
    <cellStyle name="Moneda 231 2 2 7 3 2" xfId="15115" xr:uid="{6E3C65E3-B311-4759-B5BF-43AEC4F055FA}"/>
    <cellStyle name="Moneda 231 2 2 7 4" xfId="10760" xr:uid="{B83AEE31-B4BD-40C9-8D56-69D658CDEAC4}"/>
    <cellStyle name="Moneda 231 2 2 8" xfId="3303" xr:uid="{2CD48817-4DBF-4F34-87B6-D268125FAC15}"/>
    <cellStyle name="Moneda 231 2 2 8 2" xfId="6307" xr:uid="{F04847E2-2680-4476-947B-2101352675B2}"/>
    <cellStyle name="Moneda 231 2 2 8 2 2" xfId="13868" xr:uid="{5DC300F0-B648-43C3-B2B8-83B8D2457405}"/>
    <cellStyle name="Moneda 231 2 2 8 3" xfId="7711" xr:uid="{B7811D92-ACD9-4999-BCAD-B3ADE69C225E}"/>
    <cellStyle name="Moneda 231 2 2 8 3 2" xfId="15240" xr:uid="{A29C01FB-758B-4C2A-9794-2E460DAEC32B}"/>
    <cellStyle name="Moneda 231 2 2 8 4" xfId="10885" xr:uid="{CA6EBB82-F3DD-4436-8E3B-3AA8C79B20A4}"/>
    <cellStyle name="Moneda 231 2 2 9" xfId="3431" xr:uid="{B3289BA0-6BAD-45C3-86DD-8E7D3851B872}"/>
    <cellStyle name="Moneda 231 2 2 9 2" xfId="6433" xr:uid="{F447373A-AFB6-4EA1-8C67-14A7CE4C605F}"/>
    <cellStyle name="Moneda 231 2 2 9 2 2" xfId="13994" xr:uid="{F2B6F8B2-6C0E-423C-9202-9564B050876D}"/>
    <cellStyle name="Moneda 231 2 2 9 3" xfId="7837" xr:uid="{024DF018-27B3-478F-B2EF-A1D41D40DE22}"/>
    <cellStyle name="Moneda 231 2 2 9 3 2" xfId="15366" xr:uid="{588B8B22-A5C0-4E66-8BF1-CA5CF734D19F}"/>
    <cellStyle name="Moneda 231 2 2 9 4" xfId="11011" xr:uid="{75226430-26B0-4DB8-BBE7-E70BFF8014E3}"/>
    <cellStyle name="Moneda 231 2 3" xfId="2504" xr:uid="{ABEE03AF-4357-4D16-9543-C1E630435635}"/>
    <cellStyle name="Moneda 231 2 3 2" xfId="6646" xr:uid="{40E563D8-0B15-4F3B-A3A5-17E922FE2BB0}"/>
    <cellStyle name="Moneda 231 2 3 2 2" xfId="8032" xr:uid="{599F0EC4-13F3-4FE1-86F2-49CBC70BDD4C}"/>
    <cellStyle name="Moneda 231 2 3 2 2 2" xfId="15561" xr:uid="{C4C1CEC7-9D50-46FB-9FD6-8DFD4BC5C0B1}"/>
    <cellStyle name="Moneda 231 2 3 2 3" xfId="14189" xr:uid="{21F1F27E-CC9B-492C-A722-60E171492A2D}"/>
    <cellStyle name="Moneda 231 2 3 3" xfId="5510" xr:uid="{F96E4910-285E-45F5-AAB7-A3158328DAEA}"/>
    <cellStyle name="Moneda 231 2 3 3 2" xfId="13071" xr:uid="{38786E9C-84BA-44C7-98EE-A55BC4449A68}"/>
    <cellStyle name="Moneda 231 2 3 4" xfId="6914" xr:uid="{28A09346-35FF-4B9B-91C9-B8CC916D424D}"/>
    <cellStyle name="Moneda 231 2 3 4 2" xfId="14443" xr:uid="{5266ECBF-85CB-4D48-B2BB-D497F044789C}"/>
    <cellStyle name="Moneda 231 2 3 5" xfId="10088" xr:uid="{E8332632-5BEE-4F60-8C25-F288FB1394EC}"/>
    <cellStyle name="Moneda 231 2 4" xfId="2625" xr:uid="{B4FA24F5-F867-43B2-8576-D0586EB050AD}"/>
    <cellStyle name="Moneda 231 2 4 2" xfId="5630" xr:uid="{BD83CC9C-AFA1-4FA8-8A26-5416A4FD2848}"/>
    <cellStyle name="Moneda 231 2 4 2 2" xfId="13191" xr:uid="{BC5F90CE-84F3-4383-9EF2-9B8690E4025A}"/>
    <cellStyle name="Moneda 231 2 4 3" xfId="7034" xr:uid="{9E4EBC36-505D-47DF-848E-288E7D54B6A6}"/>
    <cellStyle name="Moneda 231 2 4 3 2" xfId="14563" xr:uid="{2BC08333-12A3-4DF5-86B7-269DFD17E6C0}"/>
    <cellStyle name="Moneda 231 2 4 4" xfId="10208" xr:uid="{3E1B30BC-2914-4CA4-85E8-116D8F180DCE}"/>
    <cellStyle name="Moneda 231 2 5" xfId="2747" xr:uid="{D61A6CAC-75D8-4E16-8BCB-11CF8BB2EF3E}"/>
    <cellStyle name="Moneda 231 2 5 2" xfId="5752" xr:uid="{B4AEF091-316A-4ECD-9024-8A940A6FA29B}"/>
    <cellStyle name="Moneda 231 2 5 2 2" xfId="13313" xr:uid="{CC939C59-2AF7-458B-BE27-41B3D2483B41}"/>
    <cellStyle name="Moneda 231 2 5 3" xfId="7156" xr:uid="{7709AC4C-98AA-4C98-8E39-46CB20AE63D7}"/>
    <cellStyle name="Moneda 231 2 5 3 2" xfId="14685" xr:uid="{5F8CF886-E050-4505-ACF4-5284F0EF3883}"/>
    <cellStyle name="Moneda 231 2 5 4" xfId="10330" xr:uid="{D8688EA4-78BF-4669-9FEF-E0DF743D83DF}"/>
    <cellStyle name="Moneda 231 2 6" xfId="2872" xr:uid="{922CF7AD-59CA-46B5-B58A-47C4B4FE1994}"/>
    <cellStyle name="Moneda 231 2 6 2" xfId="5876" xr:uid="{694975DD-5C99-42B5-A17A-5EF0C44A31AB}"/>
    <cellStyle name="Moneda 231 2 6 2 2" xfId="13437" xr:uid="{C760502B-D00A-45B0-A51C-46C378CECCCC}"/>
    <cellStyle name="Moneda 231 2 6 3" xfId="7280" xr:uid="{8160B8BE-2E56-4EC7-803F-43FD6B24BE23}"/>
    <cellStyle name="Moneda 231 2 6 3 2" xfId="14809" xr:uid="{4C0D6A7F-D4D2-4E4A-B6E0-52EB49518B31}"/>
    <cellStyle name="Moneda 231 2 6 4" xfId="10454" xr:uid="{C9894953-A6B0-4976-B7AA-98FBCDC82B21}"/>
    <cellStyle name="Moneda 231 2 7" xfId="2996" xr:uid="{12E7901F-5F4E-4270-B1C2-A5BF2D138990}"/>
    <cellStyle name="Moneda 231 2 7 2" xfId="6000" xr:uid="{F5BC7D4A-470B-470E-82A8-CB9A25EE194A}"/>
    <cellStyle name="Moneda 231 2 7 2 2" xfId="13561" xr:uid="{F36E045B-F8C8-402F-A981-BC81B5C39168}"/>
    <cellStyle name="Moneda 231 2 7 3" xfId="7404" xr:uid="{EDBB7735-1F9B-40AD-8FCA-ED1103951837}"/>
    <cellStyle name="Moneda 231 2 7 3 2" xfId="14933" xr:uid="{4376B008-D904-4F43-B989-416426B37987}"/>
    <cellStyle name="Moneda 231 2 7 4" xfId="10578" xr:uid="{798A0356-A436-4681-834A-CB94B077886D}"/>
    <cellStyle name="Moneda 231 2 8" xfId="3120" xr:uid="{04EA4D2B-4384-462A-8C02-437A905339F6}"/>
    <cellStyle name="Moneda 231 2 8 2" xfId="6124" xr:uid="{3440E9A0-2B29-4213-828A-B30863F20FF1}"/>
    <cellStyle name="Moneda 231 2 8 2 2" xfId="13685" xr:uid="{FBF709FA-1A0F-48AF-974B-3B9A8C9ED146}"/>
    <cellStyle name="Moneda 231 2 8 3" xfId="7528" xr:uid="{621A8520-0DC1-4BAD-BA3E-178B63D0BDA6}"/>
    <cellStyle name="Moneda 231 2 8 3 2" xfId="15057" xr:uid="{9C81E389-CA6F-43DE-A4DC-19CC81B8FCBF}"/>
    <cellStyle name="Moneda 231 2 8 4" xfId="10702" xr:uid="{766D1DF5-2F51-4686-BB67-8BF4FE3030AF}"/>
    <cellStyle name="Moneda 231 2 9" xfId="3245" xr:uid="{DB83DBB6-4A0B-4137-BBB5-ED93666DB350}"/>
    <cellStyle name="Moneda 231 2 9 2" xfId="6249" xr:uid="{3A70EC15-0397-462F-8B38-E3079BA85168}"/>
    <cellStyle name="Moneda 231 2 9 2 2" xfId="13810" xr:uid="{69BD2D89-B57B-4812-888F-19C39AAE19D1}"/>
    <cellStyle name="Moneda 231 2 9 3" xfId="7653" xr:uid="{5F81894B-2656-4DA4-B88A-8D95B8968F05}"/>
    <cellStyle name="Moneda 231 2 9 3 2" xfId="15182" xr:uid="{3061B8B8-C7B9-468D-8ADB-3860318622A2}"/>
    <cellStyle name="Moneda 231 2 9 4" xfId="10827" xr:uid="{B0007684-415B-44AC-B793-609A6880D6DC}"/>
    <cellStyle name="Moneda 231 3" xfId="2262" xr:uid="{B692D498-82C7-4771-8E52-DB755EF8FDF8}"/>
    <cellStyle name="Moneda 231 3 10" xfId="2408" xr:uid="{ADCE5D05-A712-4720-956E-998E6F641E16}"/>
    <cellStyle name="Moneda 231 3 10 2" xfId="6539" xr:uid="{957B0BB2-8800-46F5-98A9-14BA1B559E61}"/>
    <cellStyle name="Moneda 231 3 10 2 2" xfId="14095" xr:uid="{C7553F22-3A1F-41B7-98F1-A0CF1A2A86BD}"/>
    <cellStyle name="Moneda 231 3 10 3" xfId="7938" xr:uid="{F084A9FC-4147-413D-BF80-F30CFB56AE06}"/>
    <cellStyle name="Moneda 231 3 10 3 2" xfId="15467" xr:uid="{1628D965-1D88-46C6-BB67-7E0C269AAEE6}"/>
    <cellStyle name="Moneda 231 3 10 4" xfId="9996" xr:uid="{9D8C5CA7-049E-42E4-B53B-0FF5F1EA2954}"/>
    <cellStyle name="Moneda 231 3 11" xfId="5221" xr:uid="{5264930E-58AA-431E-B8F1-3A4C410601AF}"/>
    <cellStyle name="Moneda 231 3 11 2" xfId="12789" xr:uid="{DAE5487A-FA36-44DD-ADE1-165E06CE81CD}"/>
    <cellStyle name="Moneda 231 3 12" xfId="5418" xr:uid="{7B65DD8C-67BB-46F5-AFEF-8E8AD362D887}"/>
    <cellStyle name="Moneda 231 3 12 2" xfId="12979" xr:uid="{520CA1C7-9845-4038-B9CB-5838A6259FDB}"/>
    <cellStyle name="Moneda 231 3 13" xfId="6822" xr:uid="{474FBE3A-2987-465D-BF57-75651B14F2F1}"/>
    <cellStyle name="Moneda 231 3 13 2" xfId="14351" xr:uid="{43F16F3F-7797-4BE5-A08C-B7BDF8441A66}"/>
    <cellStyle name="Moneda 231 3 14" xfId="9869" xr:uid="{B472E3AC-24C7-4ADD-90F7-CCB0C12BB2EE}"/>
    <cellStyle name="Moneda 231 3 2" xfId="2532" xr:uid="{75C428FC-BF29-4EB5-B5B5-03ECE3063E50}"/>
    <cellStyle name="Moneda 231 3 2 2" xfId="6674" xr:uid="{AADED663-B33C-499C-8375-FD36A44EAABC}"/>
    <cellStyle name="Moneda 231 3 2 2 2" xfId="8060" xr:uid="{E3D235D2-482B-4989-B009-00F27C5C388E}"/>
    <cellStyle name="Moneda 231 3 2 2 2 2" xfId="15589" xr:uid="{9E36CFFD-567B-48B4-A053-C1696A3BF57A}"/>
    <cellStyle name="Moneda 231 3 2 2 3" xfId="14217" xr:uid="{EF69D801-A5EF-4B4D-B5E8-9AAFA90128F8}"/>
    <cellStyle name="Moneda 231 3 2 3" xfId="5538" xr:uid="{4BF37568-F004-4A77-BFDA-C631209F7B3F}"/>
    <cellStyle name="Moneda 231 3 2 3 2" xfId="13099" xr:uid="{55A10361-A4ED-4F12-8069-46A01FEDF475}"/>
    <cellStyle name="Moneda 231 3 2 4" xfId="6942" xr:uid="{9D9157DE-2731-4AED-8091-95451AE7DE22}"/>
    <cellStyle name="Moneda 231 3 2 4 2" xfId="14471" xr:uid="{6C5FCE40-C235-4D45-96D4-33483097BF97}"/>
    <cellStyle name="Moneda 231 3 2 5" xfId="10116" xr:uid="{301F27D8-3C85-4AA4-A0E7-EFF071648C02}"/>
    <cellStyle name="Moneda 231 3 3" xfId="2653" xr:uid="{50AB2E87-1509-4374-89B8-23FA5A39E423}"/>
    <cellStyle name="Moneda 231 3 3 2" xfId="5658" xr:uid="{D3A17CA5-0591-461E-805C-40DD5E91649D}"/>
    <cellStyle name="Moneda 231 3 3 2 2" xfId="13219" xr:uid="{D6EA4225-196C-4440-B1E7-0AD6345FF1EF}"/>
    <cellStyle name="Moneda 231 3 3 3" xfId="7062" xr:uid="{E3972899-DA09-4E73-AB7D-DC0B9724D714}"/>
    <cellStyle name="Moneda 231 3 3 3 2" xfId="14591" xr:uid="{6A1E9DB8-4EBE-4838-B6D4-0DF8506CB609}"/>
    <cellStyle name="Moneda 231 3 3 4" xfId="10236" xr:uid="{E8005582-751F-419E-B8CF-96C254637FC3}"/>
    <cellStyle name="Moneda 231 3 4" xfId="2775" xr:uid="{128C4EE7-6CEF-4F24-87D4-9CEFE8551E92}"/>
    <cellStyle name="Moneda 231 3 4 2" xfId="5780" xr:uid="{6EF7A6FD-E76B-4C27-BB98-F86D8460E0E4}"/>
    <cellStyle name="Moneda 231 3 4 2 2" xfId="13341" xr:uid="{A20B166D-D7F9-46C7-844E-9BC608934AAC}"/>
    <cellStyle name="Moneda 231 3 4 3" xfId="7184" xr:uid="{1E6460A8-FF6F-4197-9614-36D00EB3F780}"/>
    <cellStyle name="Moneda 231 3 4 3 2" xfId="14713" xr:uid="{D57AB2CA-B245-48CE-AE48-7BD2CDF043FF}"/>
    <cellStyle name="Moneda 231 3 4 4" xfId="10358" xr:uid="{0B7A97C0-F8EE-400E-B1C5-377496DF695A}"/>
    <cellStyle name="Moneda 231 3 5" xfId="2900" xr:uid="{79BD931E-E124-44E5-8056-75CFE90D1372}"/>
    <cellStyle name="Moneda 231 3 5 2" xfId="5904" xr:uid="{75EFB81E-8630-4AF8-918B-54746AFE99AE}"/>
    <cellStyle name="Moneda 231 3 5 2 2" xfId="13465" xr:uid="{F56DB8A4-5DA1-4514-B3E0-2B8684A61690}"/>
    <cellStyle name="Moneda 231 3 5 3" xfId="7308" xr:uid="{40A1ABFB-62DE-439D-AE17-D22F9FEB2F19}"/>
    <cellStyle name="Moneda 231 3 5 3 2" xfId="14837" xr:uid="{91329D18-A290-4661-8BE6-9143DAD1CEC8}"/>
    <cellStyle name="Moneda 231 3 5 4" xfId="10482" xr:uid="{2F5D50D8-3A4A-4569-B7C9-D27EF6930855}"/>
    <cellStyle name="Moneda 231 3 6" xfId="3024" xr:uid="{ADCAACC4-CD7B-42B5-9B8F-C0EF9C8EA8EF}"/>
    <cellStyle name="Moneda 231 3 6 2" xfId="6028" xr:uid="{8D14D7DB-5B47-40CC-A1F4-696E57B49A0E}"/>
    <cellStyle name="Moneda 231 3 6 2 2" xfId="13589" xr:uid="{54B3BB23-5A20-442C-8FD1-960B1AA5F548}"/>
    <cellStyle name="Moneda 231 3 6 3" xfId="7432" xr:uid="{8EDBD8CA-FF94-49A6-9994-216C4931C6E9}"/>
    <cellStyle name="Moneda 231 3 6 3 2" xfId="14961" xr:uid="{84F3FD46-6F82-4EC3-8211-9F5023640F76}"/>
    <cellStyle name="Moneda 231 3 6 4" xfId="10606" xr:uid="{8186DE9B-98B0-40A4-9568-D96A64393BCA}"/>
    <cellStyle name="Moneda 231 3 7" xfId="3148" xr:uid="{32F8309F-7052-41D1-8317-2A1A99639E63}"/>
    <cellStyle name="Moneda 231 3 7 2" xfId="6152" xr:uid="{717BFFDC-0A87-4727-9605-F05A1964D9B6}"/>
    <cellStyle name="Moneda 231 3 7 2 2" xfId="13713" xr:uid="{CA870F4E-ACBA-4164-B0E0-EBCC0DD32833}"/>
    <cellStyle name="Moneda 231 3 7 3" xfId="7556" xr:uid="{9E9B2878-838A-4845-9C60-EBD5141CCF87}"/>
    <cellStyle name="Moneda 231 3 7 3 2" xfId="15085" xr:uid="{0EB1D434-41BB-4807-9E3A-D099F666455F}"/>
    <cellStyle name="Moneda 231 3 7 4" xfId="10730" xr:uid="{949D55F6-676A-4141-87E3-5A5F135111B5}"/>
    <cellStyle name="Moneda 231 3 8" xfId="3273" xr:uid="{A36BA45D-CC6A-4F36-99BF-59634B9EBB18}"/>
    <cellStyle name="Moneda 231 3 8 2" xfId="6277" xr:uid="{B2871C78-286B-4AC5-899C-89656E989251}"/>
    <cellStyle name="Moneda 231 3 8 2 2" xfId="13838" xr:uid="{BEB44098-632A-4B33-ACEC-C1ABB7001DBB}"/>
    <cellStyle name="Moneda 231 3 8 3" xfId="7681" xr:uid="{C13BCF00-D7F6-4864-AD9F-4726509F6B35}"/>
    <cellStyle name="Moneda 231 3 8 3 2" xfId="15210" xr:uid="{3144C816-1D05-43CE-8F00-C88AA1291FD7}"/>
    <cellStyle name="Moneda 231 3 8 4" xfId="10855" xr:uid="{CDF870EC-925F-475D-9737-AB3483C30084}"/>
    <cellStyle name="Moneda 231 3 9" xfId="3401" xr:uid="{DB1C1AE4-1DEF-4F50-8CAB-1F7AC836DF15}"/>
    <cellStyle name="Moneda 231 3 9 2" xfId="6403" xr:uid="{E307F6EF-E93E-403D-AB11-E0FD6686B0CE}"/>
    <cellStyle name="Moneda 231 3 9 2 2" xfId="13964" xr:uid="{D9277377-10E0-4674-B7C5-B53E757EAC29}"/>
    <cellStyle name="Moneda 231 3 9 3" xfId="7807" xr:uid="{AB13B650-AD05-4E07-B94D-476C0B60A1D5}"/>
    <cellStyle name="Moneda 231 3 9 3 2" xfId="15336" xr:uid="{1C901354-472C-485D-866D-80C263737250}"/>
    <cellStyle name="Moneda 231 3 9 4" xfId="10981" xr:uid="{A19D135F-74EB-4CD5-9F46-5642EE638245}"/>
    <cellStyle name="Moneda 231 4" xfId="2473" xr:uid="{28446E49-06F3-4D52-896B-CF105515C9C1}"/>
    <cellStyle name="Moneda 231 4 2" xfId="6616" xr:uid="{ACEA9959-468D-4152-B991-5DB6CD7A9B18}"/>
    <cellStyle name="Moneda 231 4 2 2" xfId="8002" xr:uid="{7146BC7A-3D39-41D7-9CCD-006F62EA956F}"/>
    <cellStyle name="Moneda 231 4 2 2 2" xfId="15531" xr:uid="{807B986D-008D-4BC6-B848-46DE9BCEB2AE}"/>
    <cellStyle name="Moneda 231 4 2 3" xfId="14159" xr:uid="{250C67E7-B62A-4444-9B63-671B1FF3ECA1}"/>
    <cellStyle name="Moneda 231 4 3" xfId="5479" xr:uid="{DDAB7090-459A-4383-AE0E-EAB4DE5CD8A2}"/>
    <cellStyle name="Moneda 231 4 3 2" xfId="13040" xr:uid="{2E0A9B71-39B6-4134-A842-8B27083BB749}"/>
    <cellStyle name="Moneda 231 4 4" xfId="6883" xr:uid="{29E72E37-DA76-4115-90E5-688ED446F203}"/>
    <cellStyle name="Moneda 231 4 4 2" xfId="14412" xr:uid="{786B102B-CB8C-4D50-9344-F79C68469933}"/>
    <cellStyle name="Moneda 231 4 5" xfId="10057" xr:uid="{1A9DF25D-32CE-4710-B27B-E048D919A888}"/>
    <cellStyle name="Moneda 231 5" xfId="2595" xr:uid="{CA3C7FD7-F96C-4B8B-9DFB-7BD447813ECD}"/>
    <cellStyle name="Moneda 231 5 2" xfId="5600" xr:uid="{B2C9493D-1ED2-476C-BD42-04A5D0AC0B4B}"/>
    <cellStyle name="Moneda 231 5 2 2" xfId="13161" xr:uid="{72A8774F-5556-463B-91F8-2D9E62019B27}"/>
    <cellStyle name="Moneda 231 5 3" xfId="7004" xr:uid="{E0DE16AC-3B04-44D0-96C6-B6B1302E7459}"/>
    <cellStyle name="Moneda 231 5 3 2" xfId="14533" xr:uid="{50BD7560-8CE7-456C-BAAF-ABA836B6C2B7}"/>
    <cellStyle name="Moneda 231 5 4" xfId="10178" xr:uid="{9835B9E1-0AAD-4CC0-B034-51F824A77821}"/>
    <cellStyle name="Moneda 231 6" xfId="2717" xr:uid="{84CFFF29-A172-42AB-B828-F866B8401A94}"/>
    <cellStyle name="Moneda 231 6 2" xfId="5722" xr:uid="{99153151-5519-446E-9128-2A57FEE2A9AD}"/>
    <cellStyle name="Moneda 231 6 2 2" xfId="13283" xr:uid="{DFEB71CA-FF8B-435A-BADD-6404AB54065A}"/>
    <cellStyle name="Moneda 231 6 3" xfId="7126" xr:uid="{FE26D588-4378-4C2B-9615-ED0BEA57A7A6}"/>
    <cellStyle name="Moneda 231 6 3 2" xfId="14655" xr:uid="{09339D07-DC95-472A-80E7-E9A01016CA8B}"/>
    <cellStyle name="Moneda 231 6 4" xfId="10300" xr:uid="{3977B8F6-AD20-4079-A8BF-04DB195EAD0F}"/>
    <cellStyle name="Moneda 231 7" xfId="2842" xr:uid="{80149B68-0440-4D78-86B0-099F263D9E49}"/>
    <cellStyle name="Moneda 231 7 2" xfId="5846" xr:uid="{A2124757-3C93-477C-9DFB-85A3A21C0725}"/>
    <cellStyle name="Moneda 231 7 2 2" xfId="13407" xr:uid="{0E67624D-4FDE-49F0-A72B-CFE387E85AF1}"/>
    <cellStyle name="Moneda 231 7 3" xfId="7250" xr:uid="{70D6E34C-ACA8-4C31-86B8-90F429C402C1}"/>
    <cellStyle name="Moneda 231 7 3 2" xfId="14779" xr:uid="{70B114B5-F433-4EC9-AB4D-8B7AD0AA172C}"/>
    <cellStyle name="Moneda 231 7 4" xfId="10424" xr:uid="{CF07A9CD-2199-491D-B096-AABAD4CA0D2C}"/>
    <cellStyle name="Moneda 231 8" xfId="2966" xr:uid="{15F42C3E-A840-4E4A-B90A-E7DC2DA16AF5}"/>
    <cellStyle name="Moneda 231 8 2" xfId="5970" xr:uid="{A633DF0F-E8A2-4B14-9152-30359C89BD34}"/>
    <cellStyle name="Moneda 231 8 2 2" xfId="13531" xr:uid="{90B53DB6-945F-4CDB-9C8C-9EAD8876276E}"/>
    <cellStyle name="Moneda 231 8 3" xfId="7374" xr:uid="{88DBFFD4-C576-4C02-A5A6-CA9DB81A08EC}"/>
    <cellStyle name="Moneda 231 8 3 2" xfId="14903" xr:uid="{4953596E-F37A-4F8C-A9D2-CA6F6667D7E0}"/>
    <cellStyle name="Moneda 231 8 4" xfId="10548" xr:uid="{E44162B5-9853-41F1-B397-7C137DE226EC}"/>
    <cellStyle name="Moneda 231 9" xfId="3090" xr:uid="{E79A5B1B-1CEC-45AE-BC25-04C4B731EB8D}"/>
    <cellStyle name="Moneda 231 9 2" xfId="6094" xr:uid="{397AFFB8-DB71-416B-B528-F4E8505C7BC2}"/>
    <cellStyle name="Moneda 231 9 2 2" xfId="13655" xr:uid="{6B38C2EC-E090-4D9D-B880-3A8C1C66133C}"/>
    <cellStyle name="Moneda 231 9 3" xfId="7498" xr:uid="{65F21542-43D5-40B0-BF8D-2D8397C5498D}"/>
    <cellStyle name="Moneda 231 9 3 2" xfId="15027" xr:uid="{AD0B97CB-0963-4108-BBF3-7200A2E605BE}"/>
    <cellStyle name="Moneda 231 9 4" xfId="10672" xr:uid="{5186D0D2-19BC-487B-B12B-C5921062F214}"/>
    <cellStyle name="Moneda 232" xfId="881" xr:uid="{90E6B9AF-04B1-4B6B-81F3-127E4DE16F5C}"/>
    <cellStyle name="Moneda 232 2" xfId="2264" xr:uid="{98B86B28-B446-43E4-BD88-FCEB46432629}"/>
    <cellStyle name="Moneda 232 2 2" xfId="5223" xr:uid="{8123D94A-C588-4DC8-A560-44BC64004DE6}"/>
    <cellStyle name="Moneda 232 2 2 2" xfId="12791" xr:uid="{1AA72994-A4BF-433D-9674-8061017E7CD1}"/>
    <cellStyle name="Moneda 232 2 3" xfId="9871" xr:uid="{337EF92A-A4F9-4E0C-AB24-61DC9469ACF1}"/>
    <cellStyle name="Moneda 232 3" xfId="3950" xr:uid="{BFB28A12-B003-4490-9ECD-B387DDC07755}"/>
    <cellStyle name="Moneda 232 3 2" xfId="11518" xr:uid="{0714226E-49DB-4E30-A707-0F44E2B7B39F}"/>
    <cellStyle name="Moneda 232 4" xfId="8598" xr:uid="{900D0510-41C2-4007-975E-D2C947B3E896}"/>
    <cellStyle name="Moneda 233" xfId="884" xr:uid="{844F0435-F588-48DD-AC9E-A33313D94964}"/>
    <cellStyle name="Moneda 233 2" xfId="2266" xr:uid="{2FE0A59B-EA80-4073-A147-61920433E059}"/>
    <cellStyle name="Moneda 233 2 2" xfId="5225" xr:uid="{A9D642A8-97C2-4C08-81B4-75648155FBB7}"/>
    <cellStyle name="Moneda 233 2 2 2" xfId="12793" xr:uid="{7E889B05-10C7-4930-B28D-30BB49DF6C8F}"/>
    <cellStyle name="Moneda 233 2 3" xfId="9873" xr:uid="{522D0B5F-FE11-4BA5-B561-7AC8FB01160A}"/>
    <cellStyle name="Moneda 233 3" xfId="3952" xr:uid="{5FE1ACBE-61E5-4F6A-A5C5-A80DA3CB2728}"/>
    <cellStyle name="Moneda 233 3 2" xfId="11520" xr:uid="{41077533-C56B-4155-83E2-526D35F779A4}"/>
    <cellStyle name="Moneda 233 4" xfId="8600" xr:uid="{A5E7935C-0B64-4ED0-8BEE-C3B5FD94E96C}"/>
    <cellStyle name="Moneda 234" xfId="887" xr:uid="{FB5984FC-B3C2-4948-916D-E522C036DAF2}"/>
    <cellStyle name="Moneda 234 2" xfId="2268" xr:uid="{01E1152A-66CB-43B5-8A56-7D6FD2EA3E08}"/>
    <cellStyle name="Moneda 234 2 2" xfId="5227" xr:uid="{53E2251E-153D-435A-91D5-BB72D70FCAE0}"/>
    <cellStyle name="Moneda 234 2 2 2" xfId="12795" xr:uid="{BC427556-7D0D-4445-B910-835490D8BF70}"/>
    <cellStyle name="Moneda 234 2 3" xfId="9875" xr:uid="{4E98C609-B940-49A7-86C4-4ED64389C7D9}"/>
    <cellStyle name="Moneda 234 3" xfId="3954" xr:uid="{FA682785-7C8A-4DFB-95A6-015A93AD4657}"/>
    <cellStyle name="Moneda 234 3 2" xfId="11522" xr:uid="{CCB5D18E-95FE-4B12-B69D-11422FFAA0C9}"/>
    <cellStyle name="Moneda 234 4" xfId="8602" xr:uid="{BE2704E2-FA55-41D9-A3F5-3278ADEEDC13}"/>
    <cellStyle name="Moneda 235" xfId="890" xr:uid="{E23C56DA-BA6C-4579-94BF-58DEF7733292}"/>
    <cellStyle name="Moneda 235 2" xfId="2270" xr:uid="{9F2B7798-06CB-4ECB-BB91-69B9F16404EB}"/>
    <cellStyle name="Moneda 235 2 2" xfId="5229" xr:uid="{D8BF507F-303A-41EA-AE13-D8CC5B9C5875}"/>
    <cellStyle name="Moneda 235 2 2 2" xfId="12797" xr:uid="{18E645FD-C055-4A44-8EEF-0C7A95A63FED}"/>
    <cellStyle name="Moneda 235 2 3" xfId="9877" xr:uid="{A6B54266-781A-4D2A-AA0A-671A4DA76CEC}"/>
    <cellStyle name="Moneda 235 3" xfId="3956" xr:uid="{D142E34D-93E8-4F59-8C4C-680B954C2DCB}"/>
    <cellStyle name="Moneda 235 3 2" xfId="11524" xr:uid="{A40A3159-974E-4A30-98F5-EB7336FF1D04}"/>
    <cellStyle name="Moneda 235 4" xfId="8604" xr:uid="{E3FB1543-27C1-48C1-8D30-6A05470B13C6}"/>
    <cellStyle name="Moneda 236" xfId="893" xr:uid="{021A39E8-3076-452B-A3DE-2B73527309A1}"/>
    <cellStyle name="Moneda 236 2" xfId="2272" xr:uid="{38B46BB0-E1DA-45EC-A409-495FD0D054F0}"/>
    <cellStyle name="Moneda 236 2 2" xfId="5231" xr:uid="{514A48FD-D2A4-4AA5-B032-FA0C1026279B}"/>
    <cellStyle name="Moneda 236 2 2 2" xfId="12799" xr:uid="{D6875B7B-4835-48C0-8A32-72B8855C69CD}"/>
    <cellStyle name="Moneda 236 2 3" xfId="9879" xr:uid="{96C357B4-0A0D-4C66-8A04-4046BE294579}"/>
    <cellStyle name="Moneda 236 3" xfId="3958" xr:uid="{D1C0B683-27F7-40FA-B3ED-C0AC1DD2DD8E}"/>
    <cellStyle name="Moneda 236 3 2" xfId="11526" xr:uid="{952F5F30-7750-4B6C-9A68-EF2CB0D1EB5E}"/>
    <cellStyle name="Moneda 236 4" xfId="8606" xr:uid="{93E34B94-4646-4C9B-9C96-110D210F9A41}"/>
    <cellStyle name="Moneda 237" xfId="896" xr:uid="{5FCDC480-382A-467B-914E-85A13451F97B}"/>
    <cellStyle name="Moneda 237 2" xfId="2274" xr:uid="{1DA42BBB-049C-4BD1-A917-AD526BEA0AF9}"/>
    <cellStyle name="Moneda 237 2 2" xfId="5233" xr:uid="{1186E36A-94D4-4295-A30C-CD3CF4604068}"/>
    <cellStyle name="Moneda 237 2 2 2" xfId="12801" xr:uid="{29171331-CD45-4E30-9891-BAC0C78BDAE7}"/>
    <cellStyle name="Moneda 237 2 3" xfId="9881" xr:uid="{F9C65038-8471-4DEF-ADB4-1A676E295730}"/>
    <cellStyle name="Moneda 237 3" xfId="3960" xr:uid="{308FE3D1-B7AA-4580-8F68-78B0A5BF876B}"/>
    <cellStyle name="Moneda 237 3 2" xfId="11528" xr:uid="{EC203CC7-ADFF-4382-BDAD-5E793150BEB6}"/>
    <cellStyle name="Moneda 237 4" xfId="8608" xr:uid="{F06CA6DD-15C5-4067-A620-1A336E29B98A}"/>
    <cellStyle name="Moneda 238" xfId="899" xr:uid="{DCDC8D8B-467F-48C7-A2CB-5E9857B0E47B}"/>
    <cellStyle name="Moneda 238 2" xfId="2276" xr:uid="{5D02CA2A-64B3-4FBD-92B9-F8D5537D0DCA}"/>
    <cellStyle name="Moneda 238 2 2" xfId="5235" xr:uid="{CCD3F850-63BA-4BD2-A84D-CA6307C622CF}"/>
    <cellStyle name="Moneda 238 2 2 2" xfId="12803" xr:uid="{0EDCABA2-C8EB-4D88-A897-D827B997FAFD}"/>
    <cellStyle name="Moneda 238 2 3" xfId="9883" xr:uid="{8D6ADA16-B3F8-4EC8-A073-CD734823667E}"/>
    <cellStyle name="Moneda 238 3" xfId="3962" xr:uid="{FAFB425B-F2DE-4AAE-AAA4-C07D4418EC7B}"/>
    <cellStyle name="Moneda 238 3 2" xfId="11530" xr:uid="{91F788E8-F6CD-4120-BE37-8D04F194B4D4}"/>
    <cellStyle name="Moneda 238 4" xfId="8610" xr:uid="{6BA0C492-C1FC-4014-9D63-7A755EA24E29}"/>
    <cellStyle name="Moneda 239" xfId="902" xr:uid="{3FE0A332-DB79-43F6-A898-BD86270AC974}"/>
    <cellStyle name="Moneda 239 2" xfId="2278" xr:uid="{7EB8063A-0F8D-4283-9321-837A13AC52C0}"/>
    <cellStyle name="Moneda 239 2 2" xfId="5237" xr:uid="{DF5A688C-21B4-4A17-846C-3E006021E04D}"/>
    <cellStyle name="Moneda 239 2 2 2" xfId="12805" xr:uid="{17232FDE-4BE1-4222-A837-6A437EAD5048}"/>
    <cellStyle name="Moneda 239 2 3" xfId="9885" xr:uid="{3A5EAD10-EF1F-4293-931B-C8695BB69A05}"/>
    <cellStyle name="Moneda 239 3" xfId="3964" xr:uid="{B77040D7-F073-43DC-9A33-128EDB1C04F6}"/>
    <cellStyle name="Moneda 239 3 2" xfId="11532" xr:uid="{7FAE3F8E-DD85-4C80-B605-BBBCF29819E5}"/>
    <cellStyle name="Moneda 239 4" xfId="8612" xr:uid="{D7272E9A-B2B6-45CC-AA54-D86F500715B0}"/>
    <cellStyle name="Moneda 24" xfId="256" xr:uid="{306876C8-0B09-442D-BB8A-CBC9A5DBA44B}"/>
    <cellStyle name="Moneda 24 10" xfId="3346" xr:uid="{6A06F8DC-C6B2-4035-AB1C-BEF45419F6AD}"/>
    <cellStyle name="Moneda 24 10 2" xfId="6348" xr:uid="{37A99A08-13C8-4ADE-BE99-90D70A9A4D1A}"/>
    <cellStyle name="Moneda 24 10 2 2" xfId="13909" xr:uid="{8C15082C-BB12-4D9D-8F5D-96C1FD27A695}"/>
    <cellStyle name="Moneda 24 10 3" xfId="7752" xr:uid="{AB7A3738-D065-45C2-9655-525D4D400DA0}"/>
    <cellStyle name="Moneda 24 10 3 2" xfId="15281" xr:uid="{A87805C6-BD7D-4C0A-BA1B-3909169E556F}"/>
    <cellStyle name="Moneda 24 10 4" xfId="10926" xr:uid="{BB7D3FB7-C39F-4165-B40B-9B01B555F731}"/>
    <cellStyle name="Moneda 24 11" xfId="2346" xr:uid="{361689BD-8318-4C80-A992-D13619436BD8}"/>
    <cellStyle name="Moneda 24 11 2" xfId="6484" xr:uid="{00B48D6C-2BF9-4141-A361-787FC2BC8F9F}"/>
    <cellStyle name="Moneda 24 11 2 2" xfId="14040" xr:uid="{FC1E5BE9-5EA9-4CBD-9BD6-9E03CBE20682}"/>
    <cellStyle name="Moneda 24 11 3" xfId="7883" xr:uid="{7216CA89-F4FC-4B1E-8C00-41FE84F61173}"/>
    <cellStyle name="Moneda 24 11 3 2" xfId="15412" xr:uid="{B0C6F195-D391-408A-840A-0E95EE7D945F}"/>
    <cellStyle name="Moneda 24 11 4" xfId="9941" xr:uid="{57B1F536-B9EE-48B1-A583-579E02A83A4B}"/>
    <cellStyle name="Moneda 24 12" xfId="3534" xr:uid="{64E46991-0912-4D6F-89DF-F31DBC64ECDE}"/>
    <cellStyle name="Moneda 24 12 2" xfId="11102" xr:uid="{941A7121-5764-4D7E-8676-D407F52F68AC}"/>
    <cellStyle name="Moneda 24 13" xfId="5363" xr:uid="{FA6EEEE1-E439-4C1E-888D-03BB2C42388B}"/>
    <cellStyle name="Moneda 24 13 2" xfId="12924" xr:uid="{D8C128F9-CA61-44E8-A251-0597FB30A66C}"/>
    <cellStyle name="Moneda 24 14" xfId="6767" xr:uid="{F3C1C00C-95EE-4DA1-8E31-9E9732A2B848}"/>
    <cellStyle name="Moneda 24 14 2" xfId="14296" xr:uid="{5FC61FE1-B316-46B9-AA3E-3ADA62C6E6A4}"/>
    <cellStyle name="Moneda 24 15" xfId="8182" xr:uid="{C8F75A53-12A7-406F-9919-0D6592611A77}"/>
    <cellStyle name="Moneda 24 2" xfId="1105" xr:uid="{44ED5000-F331-4C8B-8656-24F2AF1CF755}"/>
    <cellStyle name="Moneda 24 2 10" xfId="2411" xr:uid="{F79CB045-7C23-4280-BF61-FD477F3DE35D}"/>
    <cellStyle name="Moneda 24 2 10 2" xfId="6542" xr:uid="{E7D6074D-01A1-4FB8-BAA0-04DE71BB63CC}"/>
    <cellStyle name="Moneda 24 2 10 2 2" xfId="14098" xr:uid="{7587EBBD-1BDD-4E02-AE7F-998CFA631374}"/>
    <cellStyle name="Moneda 24 2 10 3" xfId="7941" xr:uid="{DB48A5D8-4E53-420E-9D10-5F899ADBA490}"/>
    <cellStyle name="Moneda 24 2 10 3 2" xfId="15470" xr:uid="{42564ECC-3FDA-43F8-819B-C18C897E8E68}"/>
    <cellStyle name="Moneda 24 2 10 4" xfId="9999" xr:uid="{70A53401-F682-4CD4-911E-92D649C17BB2}"/>
    <cellStyle name="Moneda 24 2 11" xfId="4065" xr:uid="{B82BF3B3-1470-4075-B04B-4D44F5F5D766}"/>
    <cellStyle name="Moneda 24 2 11 2" xfId="11633" xr:uid="{C5B1040D-AD43-460F-930B-1FA7F2633EB8}"/>
    <cellStyle name="Moneda 24 2 12" xfId="5421" xr:uid="{F1378FB4-9C63-4EA1-928F-92EF67F8ADA9}"/>
    <cellStyle name="Moneda 24 2 12 2" xfId="12982" xr:uid="{08D39CED-69CF-4501-ABC5-D65A2A8C34D7}"/>
    <cellStyle name="Moneda 24 2 13" xfId="6825" xr:uid="{6FB71550-BE6D-4054-8D35-5750EDA645D2}"/>
    <cellStyle name="Moneda 24 2 13 2" xfId="14354" xr:uid="{0F3297E2-C460-434B-9CED-8CBD2749DC53}"/>
    <cellStyle name="Moneda 24 2 14" xfId="8713" xr:uid="{5E76BF70-C6D0-42A2-87AF-E988A4B0EC04}"/>
    <cellStyle name="Moneda 24 2 2" xfId="2535" xr:uid="{939EC76E-1214-41CC-A094-FAF3FA4A121F}"/>
    <cellStyle name="Moneda 24 2 2 2" xfId="6677" xr:uid="{FBAD8DD8-1D91-47D4-B70D-1773CE66E2FD}"/>
    <cellStyle name="Moneda 24 2 2 2 2" xfId="8063" xr:uid="{0DF57448-AD34-4D7B-926F-67978790A82C}"/>
    <cellStyle name="Moneda 24 2 2 2 2 2" xfId="15592" xr:uid="{83BB9CE1-0DBA-45E0-A9A6-954549E467EB}"/>
    <cellStyle name="Moneda 24 2 2 2 3" xfId="14220" xr:uid="{0B3E21BD-D9ED-4D2F-8671-68563BE5A49F}"/>
    <cellStyle name="Moneda 24 2 2 3" xfId="5541" xr:uid="{DFC87D9D-6B47-488E-B9B4-34B8C986E23C}"/>
    <cellStyle name="Moneda 24 2 2 3 2" xfId="13102" xr:uid="{87F6850C-2AA0-4C05-89D3-6E668F751C14}"/>
    <cellStyle name="Moneda 24 2 2 4" xfId="6945" xr:uid="{65DD2624-67C9-44B3-8293-4AB1265CAA6C}"/>
    <cellStyle name="Moneda 24 2 2 4 2" xfId="14474" xr:uid="{81940F01-A55C-439A-B64C-DC08374D33A0}"/>
    <cellStyle name="Moneda 24 2 2 5" xfId="10119" xr:uid="{3F492F06-39B2-4467-94FB-F71D4257B99A}"/>
    <cellStyle name="Moneda 24 2 3" xfId="2656" xr:uid="{AE6A7735-B081-47CC-B519-428DAC4CBE2D}"/>
    <cellStyle name="Moneda 24 2 3 2" xfId="5661" xr:uid="{95B56B5E-13D2-4641-9663-AFB0105ED841}"/>
    <cellStyle name="Moneda 24 2 3 2 2" xfId="13222" xr:uid="{BEBE210B-F7BC-477F-B6CF-7C6F576A964B}"/>
    <cellStyle name="Moneda 24 2 3 3" xfId="7065" xr:uid="{7AC1A2BC-3A0C-4777-A472-516177E2FE0A}"/>
    <cellStyle name="Moneda 24 2 3 3 2" xfId="14594" xr:uid="{0FD0D4C3-5059-4E4C-B38D-03E5D26FAF0D}"/>
    <cellStyle name="Moneda 24 2 3 4" xfId="10239" xr:uid="{51B1697F-9114-4BBC-98D3-B737CE7CA0B4}"/>
    <cellStyle name="Moneda 24 2 4" xfId="2778" xr:uid="{FE8DA371-40EA-453C-9A02-C50588B4CAB3}"/>
    <cellStyle name="Moneda 24 2 4 2" xfId="5783" xr:uid="{4A594A6D-BAE8-4D16-B0AB-38BD7E2F654F}"/>
    <cellStyle name="Moneda 24 2 4 2 2" xfId="13344" xr:uid="{A73B71DE-1607-4204-A952-A927917C8C77}"/>
    <cellStyle name="Moneda 24 2 4 3" xfId="7187" xr:uid="{06316ABA-7DF7-4597-A200-C3469D2751F0}"/>
    <cellStyle name="Moneda 24 2 4 3 2" xfId="14716" xr:uid="{BB1B5292-B3BD-41D7-B5A0-2985961BF68A}"/>
    <cellStyle name="Moneda 24 2 4 4" xfId="10361" xr:uid="{32A0AD00-E424-4371-9D8E-6F16E12ED910}"/>
    <cellStyle name="Moneda 24 2 5" xfId="2903" xr:uid="{CD4E25FC-A5D7-44A6-AFDA-9E2D24DF325C}"/>
    <cellStyle name="Moneda 24 2 5 2" xfId="5907" xr:uid="{7E9D0771-E3A0-452E-AF76-CEEFC1B98CBC}"/>
    <cellStyle name="Moneda 24 2 5 2 2" xfId="13468" xr:uid="{E3115522-D843-46F8-A334-48F629A1C642}"/>
    <cellStyle name="Moneda 24 2 5 3" xfId="7311" xr:uid="{586C4A69-C5BE-4C55-8A0A-0C8FF1A156EA}"/>
    <cellStyle name="Moneda 24 2 5 3 2" xfId="14840" xr:uid="{07B96106-AA5D-4681-901F-490AE8840C04}"/>
    <cellStyle name="Moneda 24 2 5 4" xfId="10485" xr:uid="{72D22EC9-3F39-4618-9730-257E7F066DD5}"/>
    <cellStyle name="Moneda 24 2 6" xfId="3027" xr:uid="{EEAE0F77-D654-456C-993A-74F32025ABD3}"/>
    <cellStyle name="Moneda 24 2 6 2" xfId="6031" xr:uid="{F3459EFA-12EE-4697-BCFB-5580C772AFBA}"/>
    <cellStyle name="Moneda 24 2 6 2 2" xfId="13592" xr:uid="{5525E5AE-ED73-40E2-8450-D8295152A4C9}"/>
    <cellStyle name="Moneda 24 2 6 3" xfId="7435" xr:uid="{4D6B8669-6E1A-43E7-A629-EF140D520B6F}"/>
    <cellStyle name="Moneda 24 2 6 3 2" xfId="14964" xr:uid="{59D184D8-E503-4ECD-9A3A-CC0847697879}"/>
    <cellStyle name="Moneda 24 2 6 4" xfId="10609" xr:uid="{CAABAA20-60F6-4B7D-9C00-1076CE57C344}"/>
    <cellStyle name="Moneda 24 2 7" xfId="3151" xr:uid="{10E879A5-BE38-4CAB-9D3F-3EDFC1163EE7}"/>
    <cellStyle name="Moneda 24 2 7 2" xfId="6155" xr:uid="{9B619549-8F50-4A7A-8002-305998B3D0E7}"/>
    <cellStyle name="Moneda 24 2 7 2 2" xfId="13716" xr:uid="{A87272B4-5377-496E-A719-CC26C129ED53}"/>
    <cellStyle name="Moneda 24 2 7 3" xfId="7559" xr:uid="{F9C7DC11-6EA3-46DD-AB56-214A48BA65F7}"/>
    <cellStyle name="Moneda 24 2 7 3 2" xfId="15088" xr:uid="{B9563535-07FB-40BF-93BE-C20356880289}"/>
    <cellStyle name="Moneda 24 2 7 4" xfId="10733" xr:uid="{A3B73020-DDBC-4C80-A5D1-BA6360956AAB}"/>
    <cellStyle name="Moneda 24 2 8" xfId="3276" xr:uid="{717BCB72-F054-4C92-B293-334F1C17EEF2}"/>
    <cellStyle name="Moneda 24 2 8 2" xfId="6280" xr:uid="{06CAC958-8C0F-43A3-AD40-F39D16B15EC1}"/>
    <cellStyle name="Moneda 24 2 8 2 2" xfId="13841" xr:uid="{35F7A960-B734-4432-AAD5-BE710140411F}"/>
    <cellStyle name="Moneda 24 2 8 3" xfId="7684" xr:uid="{CCB8E598-8551-42BE-96F4-4E1E4613E7EF}"/>
    <cellStyle name="Moneda 24 2 8 3 2" xfId="15213" xr:uid="{EDD5CD53-59C9-4EF0-9152-9109F6B5C58B}"/>
    <cellStyle name="Moneda 24 2 8 4" xfId="10858" xr:uid="{554A42B8-7670-47BA-8EF7-BAAD1F643DAB}"/>
    <cellStyle name="Moneda 24 2 9" xfId="3404" xr:uid="{D4A2CB8B-0B8D-4730-A16D-3122D20781D1}"/>
    <cellStyle name="Moneda 24 2 9 2" xfId="6406" xr:uid="{09791671-1F1D-47C8-A418-5A6842CDA2E1}"/>
    <cellStyle name="Moneda 24 2 9 2 2" xfId="13967" xr:uid="{8CE0915C-C34E-461B-8DC0-FEC90CE4403A}"/>
    <cellStyle name="Moneda 24 2 9 3" xfId="7810" xr:uid="{C96245AA-D0DF-489C-8FBF-AE6691E2A218}"/>
    <cellStyle name="Moneda 24 2 9 3 2" xfId="15339" xr:uid="{93AD015E-0CAC-4A25-A9CF-829F78AEFED6}"/>
    <cellStyle name="Moneda 24 2 9 4" xfId="10984" xr:uid="{C8B83486-2B2B-4DEE-8D1C-6395F81A3620}"/>
    <cellStyle name="Moneda 24 3" xfId="1469" xr:uid="{80CF4EEC-B5DA-4E81-8822-DCAE93D530C5}"/>
    <cellStyle name="Moneda 24 3 2" xfId="2477" xr:uid="{45957C8B-4EF1-41A9-BA0A-82BE4236337F}"/>
    <cellStyle name="Moneda 24 3 2 2" xfId="6619" xr:uid="{1CE0DFF3-FBAB-424B-A9C4-38D93419352D}"/>
    <cellStyle name="Moneda 24 3 2 2 2" xfId="14162" xr:uid="{634D92C6-76C7-4414-9E70-681957DC2A03}"/>
    <cellStyle name="Moneda 24 3 2 3" xfId="8005" xr:uid="{9B6C1F27-C5A2-4DFE-A365-67C8E8E1324D}"/>
    <cellStyle name="Moneda 24 3 2 3 2" xfId="15534" xr:uid="{46E39EC9-32EE-4E0E-95C8-11574A4BE2A8}"/>
    <cellStyle name="Moneda 24 3 2 4" xfId="10061" xr:uid="{9BAF94AF-ECC5-4088-AB3E-21DC2E7C631E}"/>
    <cellStyle name="Moneda 24 3 3" xfId="4429" xr:uid="{5E1F7D71-E790-42DE-862B-92B4DC4AB952}"/>
    <cellStyle name="Moneda 24 3 3 2" xfId="11997" xr:uid="{6F7D9BDB-4A88-4E24-B891-FAC7D09FE22F}"/>
    <cellStyle name="Moneda 24 3 4" xfId="5483" xr:uid="{F267978B-57C0-44B5-8C62-A5C66DB5D2F8}"/>
    <cellStyle name="Moneda 24 3 4 2" xfId="13044" xr:uid="{54DE45DA-F61B-426B-A5E5-F7899038874A}"/>
    <cellStyle name="Moneda 24 3 5" xfId="6887" xr:uid="{1B6576AA-9636-4CB8-82B8-86537D66C6B9}"/>
    <cellStyle name="Moneda 24 3 5 2" xfId="14416" xr:uid="{895CA7C7-7EEC-4752-AE66-C5FC86A4447E}"/>
    <cellStyle name="Moneda 24 3 6" xfId="9077" xr:uid="{716CA37F-A59D-4677-AF45-99764D7C4CA0}"/>
    <cellStyle name="Moneda 24 4" xfId="1848" xr:uid="{C8C82D81-E58E-49EC-8AFD-AC8F18C9A94F}"/>
    <cellStyle name="Moneda 24 4 2" xfId="2598" xr:uid="{4B44C26A-AE51-4839-ACF8-8288E46F1E76}"/>
    <cellStyle name="Moneda 24 4 2 2" xfId="10181" xr:uid="{4E39F20D-4402-4ED4-869E-FA19340BCBFF}"/>
    <cellStyle name="Moneda 24 4 3" xfId="4807" xr:uid="{1BD95612-D4E6-4212-8799-31A5368CA24B}"/>
    <cellStyle name="Moneda 24 4 3 2" xfId="12375" xr:uid="{ABEFC5D3-1413-4667-AEF7-D779A348AD4A}"/>
    <cellStyle name="Moneda 24 4 4" xfId="5603" xr:uid="{D65BAFCF-9679-40F7-82E5-793792784C7C}"/>
    <cellStyle name="Moneda 24 4 4 2" xfId="13164" xr:uid="{08CCF90A-FF97-43AF-88F5-3D5B701F5D8B}"/>
    <cellStyle name="Moneda 24 4 5" xfId="7007" xr:uid="{FEA75214-E7A4-4B98-8A3C-EE8825FAB9AA}"/>
    <cellStyle name="Moneda 24 4 5 2" xfId="14536" xr:uid="{B016CB71-988A-48F8-9C12-861206C3CE4F}"/>
    <cellStyle name="Moneda 24 4 6" xfId="9455" xr:uid="{C9F37668-CB31-4D19-AA8A-82E81CCF1248}"/>
    <cellStyle name="Moneda 24 5" xfId="2720" xr:uid="{D1B61239-0494-41C0-B7A1-E378D5ECEBAF}"/>
    <cellStyle name="Moneda 24 5 2" xfId="5725" xr:uid="{62F0B008-071E-4A76-AD14-446A4E62AAAF}"/>
    <cellStyle name="Moneda 24 5 2 2" xfId="13286" xr:uid="{60B45D6A-FB5D-4A6A-BC61-9DEA47A0628A}"/>
    <cellStyle name="Moneda 24 5 3" xfId="7129" xr:uid="{9241D2C9-CD45-42DE-9CCA-65DED46375E6}"/>
    <cellStyle name="Moneda 24 5 3 2" xfId="14658" xr:uid="{4FBE5295-7A33-448C-9CEE-223041304DBE}"/>
    <cellStyle name="Moneda 24 5 4" xfId="10303" xr:uid="{5C95A065-890A-4D89-B9BE-3B8653C88EDC}"/>
    <cellStyle name="Moneda 24 6" xfId="2845" xr:uid="{BE9FE62B-97E2-494E-B6C9-E0BEBD435E68}"/>
    <cellStyle name="Moneda 24 6 2" xfId="5849" xr:uid="{0A6DF114-C450-402A-B6E9-F6C33E7B5ED6}"/>
    <cellStyle name="Moneda 24 6 2 2" xfId="13410" xr:uid="{1674135D-C977-4099-989F-F4B3DEBA3162}"/>
    <cellStyle name="Moneda 24 6 3" xfId="7253" xr:uid="{1E67730B-7D53-4B79-85C4-B41069CB5F09}"/>
    <cellStyle name="Moneda 24 6 3 2" xfId="14782" xr:uid="{EADC2901-5CC3-4102-9170-DC8134D26F1B}"/>
    <cellStyle name="Moneda 24 6 4" xfId="10427" xr:uid="{CF698489-D4F6-448B-B68B-D8DB37ADAC72}"/>
    <cellStyle name="Moneda 24 7" xfId="2969" xr:uid="{B8727A78-1330-4AED-9FCE-52CA31678BFF}"/>
    <cellStyle name="Moneda 24 7 2" xfId="5973" xr:uid="{A7F8DE23-C4AD-421C-907B-1F5345B6492F}"/>
    <cellStyle name="Moneda 24 7 2 2" xfId="13534" xr:uid="{01C55FCB-D05F-499C-BAD6-C86A2944BF56}"/>
    <cellStyle name="Moneda 24 7 3" xfId="7377" xr:uid="{D02170CD-85CD-42FA-93C3-D3FF098F3714}"/>
    <cellStyle name="Moneda 24 7 3 2" xfId="14906" xr:uid="{E5256A29-9427-4CD4-A64C-92AFC9FAA3D7}"/>
    <cellStyle name="Moneda 24 7 4" xfId="10551" xr:uid="{1F6F0612-6250-472F-8B30-B773DE43FDAD}"/>
    <cellStyle name="Moneda 24 8" xfId="3093" xr:uid="{A758BF6B-FB8B-4949-AB29-43A3CDAA72DA}"/>
    <cellStyle name="Moneda 24 8 2" xfId="6097" xr:uid="{7FE52C53-F1EF-45E2-8D2A-C4EB73FB11A9}"/>
    <cellStyle name="Moneda 24 8 2 2" xfId="13658" xr:uid="{E67A5270-0BBE-477F-8354-BF733AAF0080}"/>
    <cellStyle name="Moneda 24 8 3" xfId="7501" xr:uid="{99CABF8A-9100-48CF-9405-50110A8860A8}"/>
    <cellStyle name="Moneda 24 8 3 2" xfId="15030" xr:uid="{EE6B87F6-F213-4F73-B4C3-D985F88C545D}"/>
    <cellStyle name="Moneda 24 8 4" xfId="10675" xr:uid="{3198E63D-E465-4653-B3A4-4838262D2513}"/>
    <cellStyle name="Moneda 24 9" xfId="3218" xr:uid="{9146B303-F4D2-4B97-9375-3C92CE1BBE21}"/>
    <cellStyle name="Moneda 24 9 2" xfId="6222" xr:uid="{19B99E4A-C65D-408E-B85B-7459D4700606}"/>
    <cellStyle name="Moneda 24 9 2 2" xfId="13783" xr:uid="{F473BEB6-328C-4AA8-8DB4-82EDE2B8285A}"/>
    <cellStyle name="Moneda 24 9 3" xfId="7626" xr:uid="{0EE59C8E-F308-4228-9462-AA6AAE5922A9}"/>
    <cellStyle name="Moneda 24 9 3 2" xfId="15155" xr:uid="{56ABB887-880E-44E3-81AF-B966F393A9D5}"/>
    <cellStyle name="Moneda 24 9 4" xfId="10800" xr:uid="{334C0865-D72D-42A9-BE6B-B96CC93B5B55}"/>
    <cellStyle name="Moneda 240" xfId="905" xr:uid="{A8A8FD9E-11E6-4A3A-A7C8-C99BA74E9D55}"/>
    <cellStyle name="Moneda 240 2" xfId="2280" xr:uid="{74867A20-0B5C-46A8-8E14-56E73100B340}"/>
    <cellStyle name="Moneda 240 2 2" xfId="5239" xr:uid="{30636C93-F76F-4051-802C-8AA7014AA34C}"/>
    <cellStyle name="Moneda 240 2 2 2" xfId="12807" xr:uid="{6D1A353C-255E-4DD7-B5AD-830BA575BC61}"/>
    <cellStyle name="Moneda 240 2 3" xfId="9887" xr:uid="{6C550974-B998-40A1-AEB2-2320B44C3F6E}"/>
    <cellStyle name="Moneda 240 3" xfId="3966" xr:uid="{A302CD95-5183-43B3-93BE-24FB5D99DAE4}"/>
    <cellStyle name="Moneda 240 3 2" xfId="11534" xr:uid="{39634BD9-2628-458C-A8D5-0E47492B7599}"/>
    <cellStyle name="Moneda 240 4" xfId="8614" xr:uid="{DD9978EE-39B1-45EE-AF5D-FCBA6FB24082}"/>
    <cellStyle name="Moneda 241" xfId="908" xr:uid="{3B420CC2-2D08-4E5C-BA1F-BB6D0AFBC0E1}"/>
    <cellStyle name="Moneda 241 2" xfId="2282" xr:uid="{3E1FCB6E-D126-42FF-86DD-44B4FA37760D}"/>
    <cellStyle name="Moneda 241 2 2" xfId="5241" xr:uid="{2963D469-88CF-4EFB-91C9-47502EBCC3EA}"/>
    <cellStyle name="Moneda 241 2 2 2" xfId="12809" xr:uid="{2B37DF10-DBBC-4CF6-A5FD-DEBF9986A5B9}"/>
    <cellStyle name="Moneda 241 2 3" xfId="9889" xr:uid="{23494452-3DDB-4F16-B4F2-6EA64351328D}"/>
    <cellStyle name="Moneda 241 3" xfId="3968" xr:uid="{AC6E020D-D83B-4F35-A047-CD1A7ABAB728}"/>
    <cellStyle name="Moneda 241 3 2" xfId="11536" xr:uid="{AE4F472A-4252-4573-A0CE-7CA6F93679CD}"/>
    <cellStyle name="Moneda 241 4" xfId="8616" xr:uid="{6ACFF4C6-19C9-4DFD-A889-5C71591A1E27}"/>
    <cellStyle name="Moneda 242" xfId="911" xr:uid="{2056B866-3EE6-44BB-AA39-54A628A26E28}"/>
    <cellStyle name="Moneda 242 2" xfId="2284" xr:uid="{731F07B4-CCE9-40EE-9528-47CA16AF1F0F}"/>
    <cellStyle name="Moneda 242 2 2" xfId="5243" xr:uid="{8057BCBC-694F-44A9-8BAF-430C09693605}"/>
    <cellStyle name="Moneda 242 2 2 2" xfId="12811" xr:uid="{38512DE6-2419-424A-8E33-8BD64D273C9B}"/>
    <cellStyle name="Moneda 242 2 3" xfId="9891" xr:uid="{DC5B3D2B-6A4F-42D5-AD5D-12094E1A6BF5}"/>
    <cellStyle name="Moneda 242 3" xfId="3970" xr:uid="{875D6FA9-7B55-4C2E-8C04-FE848A0C484C}"/>
    <cellStyle name="Moneda 242 3 2" xfId="11538" xr:uid="{819EB8C3-4FE8-4B86-92F7-FC28BD7DE5B5}"/>
    <cellStyle name="Moneda 242 4" xfId="8618" xr:uid="{89EE1782-808B-4750-8665-761B4BDDB251}"/>
    <cellStyle name="Moneda 243" xfId="914" xr:uid="{8118B55E-D8E2-40CB-A8DA-51FABCA3C414}"/>
    <cellStyle name="Moneda 243 2" xfId="2286" xr:uid="{158D7B1A-E533-4E6E-9E53-A8A8630DC404}"/>
    <cellStyle name="Moneda 243 2 2" xfId="5245" xr:uid="{DFDE60D0-0963-4086-A454-8ED3B1A2A518}"/>
    <cellStyle name="Moneda 243 2 2 2" xfId="12813" xr:uid="{4AC345AF-B941-4D65-A176-EFD52837FA4D}"/>
    <cellStyle name="Moneda 243 2 3" xfId="9893" xr:uid="{BE644983-F7C4-4E51-8EE0-E86BE50EE977}"/>
    <cellStyle name="Moneda 243 3" xfId="3972" xr:uid="{7B848E72-FEF2-410D-8230-B262460C4AC3}"/>
    <cellStyle name="Moneda 243 3 2" xfId="11540" xr:uid="{F61EDC14-9840-4D45-A3B0-E433D1F797E5}"/>
    <cellStyle name="Moneda 243 4" xfId="8620" xr:uid="{85298A76-7050-49C4-8847-98D20BE04FA7}"/>
    <cellStyle name="Moneda 244" xfId="917" xr:uid="{40241653-53F9-4C69-A976-3C0E58C244A6}"/>
    <cellStyle name="Moneda 244 2" xfId="2288" xr:uid="{953EA9E8-1314-484B-8528-F6C978BC43A5}"/>
    <cellStyle name="Moneda 244 2 2" xfId="5247" xr:uid="{44330FC7-0AC8-4AE3-AC42-DFD1A97EC683}"/>
    <cellStyle name="Moneda 244 2 2 2" xfId="12815" xr:uid="{BBFE2966-A628-4E1F-8ADA-7AD04D9A92F1}"/>
    <cellStyle name="Moneda 244 2 3" xfId="9895" xr:uid="{7641D199-8865-469F-8E66-C6FB20F8B589}"/>
    <cellStyle name="Moneda 244 3" xfId="3974" xr:uid="{BBD643A5-01DE-4DA6-9A18-51D5BD34FA23}"/>
    <cellStyle name="Moneda 244 3 2" xfId="11542" xr:uid="{47227739-072B-4D26-A077-6BCDF9E4D515}"/>
    <cellStyle name="Moneda 244 4" xfId="8622" xr:uid="{F7984652-F62F-4753-909F-B07EECBF6C31}"/>
    <cellStyle name="Moneda 245" xfId="920" xr:uid="{CA032A50-E42D-4477-9CCB-26F890F2A5FA}"/>
    <cellStyle name="Moneda 245 2" xfId="2290" xr:uid="{A56FCB19-DEA4-4518-AF31-7BE0FF28CEFC}"/>
    <cellStyle name="Moneda 245 2 2" xfId="5249" xr:uid="{80333ABE-9920-4B2B-92B6-09458A32C51A}"/>
    <cellStyle name="Moneda 245 2 2 2" xfId="12817" xr:uid="{03CDDC4B-3569-4C9B-BF4C-E5F35E375FAF}"/>
    <cellStyle name="Moneda 245 2 3" xfId="9897" xr:uid="{ECBAFCAD-7623-431D-8D08-0738C6010736}"/>
    <cellStyle name="Moneda 245 3" xfId="3976" xr:uid="{FCFD964B-D369-4FC2-AE28-E4AEB5ECB18E}"/>
    <cellStyle name="Moneda 245 3 2" xfId="11544" xr:uid="{9BF35C55-666C-4BFB-ABEB-F969A888E8E2}"/>
    <cellStyle name="Moneda 245 4" xfId="8624" xr:uid="{6246C4A2-5991-4CDD-8658-82E7ED8C821C}"/>
    <cellStyle name="Moneda 246" xfId="186" xr:uid="{765918E1-2102-4BDA-85C7-DFAF4ADBE060}"/>
    <cellStyle name="Moneda 246 2" xfId="2292" xr:uid="{5E1FE678-CEAC-48E2-8F8D-88F87AA82582}"/>
    <cellStyle name="Moneda 246 2 2" xfId="5251" xr:uid="{E5BF5310-FFC6-4496-B14C-70C36B18DCC1}"/>
    <cellStyle name="Moneda 246 2 2 2" xfId="12819" xr:uid="{11C51B8B-3B40-4299-981E-BB32B895E612}"/>
    <cellStyle name="Moneda 246 2 3" xfId="9899" xr:uid="{B8AB1521-BA55-4F88-925A-CD876A18BF2E}"/>
    <cellStyle name="Moneda 246 3" xfId="3492" xr:uid="{64DC95BE-CC6B-49CA-ADEA-C1A63D1A21A9}"/>
    <cellStyle name="Moneda 246 3 2" xfId="11060" xr:uid="{A59EA3B5-C58F-4C67-933A-8364897244AE}"/>
    <cellStyle name="Moneda 246 4" xfId="8140" xr:uid="{B9ABB59A-F102-4419-812B-F285E5F6ECC4}"/>
    <cellStyle name="Moneda 247" xfId="185" xr:uid="{DE91BCDF-472A-4E0B-8E53-D663336DBF8E}"/>
    <cellStyle name="Moneda 247 2" xfId="2294" xr:uid="{E369D7DC-E1CE-43EB-AB05-A2AB1EE30003}"/>
    <cellStyle name="Moneda 247 2 2" xfId="5253" xr:uid="{76D9104E-24C7-485D-BFAB-A5BC9B2B9BC4}"/>
    <cellStyle name="Moneda 247 2 2 2" xfId="12821" xr:uid="{A4AB63FF-DF82-4F08-A150-40E2C06DF013}"/>
    <cellStyle name="Moneda 247 2 3" xfId="9901" xr:uid="{B449F92A-B5EB-4ED8-8A92-97F5E7AAD79A}"/>
    <cellStyle name="Moneda 247 3" xfId="3491" xr:uid="{4BBD5708-2FAE-4588-B8FD-35BFEDFDD2A2}"/>
    <cellStyle name="Moneda 247 3 2" xfId="11059" xr:uid="{4818BF6B-14D1-49D2-8593-8C21F2713024}"/>
    <cellStyle name="Moneda 247 4" xfId="8139" xr:uid="{1E18AC86-7284-4A89-B0A0-882A24F50704}"/>
    <cellStyle name="Moneda 248" xfId="946" xr:uid="{783A3E58-A3A5-4F52-A3D9-493759B41C51}"/>
    <cellStyle name="Moneda 248 2" xfId="2297" xr:uid="{04D63B1A-43CA-48F4-8DCE-B869B411D2D4}"/>
    <cellStyle name="Moneda 248 2 2" xfId="5255" xr:uid="{805FD1C0-6C9F-41C4-BAA1-35DDC2DB9087}"/>
    <cellStyle name="Moneda 248 2 2 2" xfId="12823" xr:uid="{323D591B-E7B1-4AE7-8030-6D48A368A891}"/>
    <cellStyle name="Moneda 248 2 3" xfId="9903" xr:uid="{4D4CA4AF-8094-44CB-A381-213D8F4710CC}"/>
    <cellStyle name="Moneda 248 3" xfId="3984" xr:uid="{E72145DE-E409-4666-B782-5DA5297F9C14}"/>
    <cellStyle name="Moneda 248 3 2" xfId="11552" xr:uid="{B56F2914-35E2-4BA7-A2FA-3175234DB0D3}"/>
    <cellStyle name="Moneda 248 4" xfId="8632" xr:uid="{787ACACF-4C92-44E2-87B4-793BF06F77B4}"/>
    <cellStyle name="Moneda 249" xfId="935" xr:uid="{B8BBB8C6-53FE-4492-83E4-9142D4DC4423}"/>
    <cellStyle name="Moneda 249 2" xfId="2300" xr:uid="{6C87C39C-9000-4D17-AB69-E3BB25B28B99}"/>
    <cellStyle name="Moneda 249 2 2" xfId="5257" xr:uid="{45229405-9E6B-455A-8207-608D3011CF36}"/>
    <cellStyle name="Moneda 249 2 2 2" xfId="12825" xr:uid="{99CF9920-D8CF-41E7-A8C4-E3DE8FA3FC4B}"/>
    <cellStyle name="Moneda 249 2 3" xfId="9905" xr:uid="{ACDD9D74-3AE4-40B6-BC4B-B42006105DEB}"/>
    <cellStyle name="Moneda 249 3" xfId="3979" xr:uid="{3B8FE8D9-AFA6-4329-AA10-C0C88D73C143}"/>
    <cellStyle name="Moneda 249 3 2" xfId="11547" xr:uid="{181BB0AD-AE65-4689-8594-5440A74D2717}"/>
    <cellStyle name="Moneda 249 4" xfId="8627" xr:uid="{C2D85C34-86E8-487E-9053-98254C4BE380}"/>
    <cellStyle name="Moneda 25" xfId="259" xr:uid="{DE53AAB4-6482-484B-89E5-4C5D856D2934}"/>
    <cellStyle name="Moneda 25 10" xfId="2382" xr:uid="{1E94F472-4991-4C0A-AC50-A7286EDE44B0}"/>
    <cellStyle name="Moneda 25 10 2" xfId="6513" xr:uid="{0E9FDFA7-9757-4D19-A202-5EF1B9AB0840}"/>
    <cellStyle name="Moneda 25 10 2 2" xfId="14069" xr:uid="{44B17FF4-DDE3-4713-9D47-EA637C19C62A}"/>
    <cellStyle name="Moneda 25 10 3" xfId="7912" xr:uid="{72458264-8E4A-44A0-BCC9-BD676D24C517}"/>
    <cellStyle name="Moneda 25 10 3 2" xfId="15441" xr:uid="{685DE07E-045C-4FA8-9BCB-4988742E510C}"/>
    <cellStyle name="Moneda 25 10 4" xfId="9970" xr:uid="{59A71501-1855-4331-905F-EE6AD3DE9609}"/>
    <cellStyle name="Moneda 25 11" xfId="3536" xr:uid="{029C33E8-B774-4571-9CF3-A7F0623BFA69}"/>
    <cellStyle name="Moneda 25 11 2" xfId="11104" xr:uid="{405CBA7F-9FD5-4C0A-8316-75ED6CB69D50}"/>
    <cellStyle name="Moneda 25 12" xfId="5392" xr:uid="{2B3B29D2-7E51-48B8-82D7-45B8D94CF002}"/>
    <cellStyle name="Moneda 25 12 2" xfId="12953" xr:uid="{EB778D19-898F-4F78-AEAC-BE52B374AB36}"/>
    <cellStyle name="Moneda 25 13" xfId="6796" xr:uid="{57C8A7E7-A713-4F61-8C44-32515EE93009}"/>
    <cellStyle name="Moneda 25 13 2" xfId="14325" xr:uid="{877D16DE-CEFE-46DA-9EBE-40FC2BE691AD}"/>
    <cellStyle name="Moneda 25 14" xfId="8184" xr:uid="{D51B7FE4-E088-4363-976A-8E902777E44F}"/>
    <cellStyle name="Moneda 25 2" xfId="1107" xr:uid="{ECCFBAD0-16F6-42C8-9824-FBBBCA030AEA}"/>
    <cellStyle name="Moneda 25 2 2" xfId="2506" xr:uid="{057E7792-1D53-46A6-8F9C-ABC983A055C7}"/>
    <cellStyle name="Moneda 25 2 2 2" xfId="6648" xr:uid="{776DBC5F-133D-45B4-AB89-23A82C81C642}"/>
    <cellStyle name="Moneda 25 2 2 2 2" xfId="14191" xr:uid="{605CD4D5-8122-4282-B8B2-18911246DA29}"/>
    <cellStyle name="Moneda 25 2 2 3" xfId="8034" xr:uid="{63A6A915-49D7-43DE-AAA7-917F6DE1361C}"/>
    <cellStyle name="Moneda 25 2 2 3 2" xfId="15563" xr:uid="{8886810A-7A71-449E-B06D-69F45FBB5E69}"/>
    <cellStyle name="Moneda 25 2 2 4" xfId="10090" xr:uid="{4BFC5FF1-6787-4409-801D-895CBB6727EA}"/>
    <cellStyle name="Moneda 25 2 3" xfId="4067" xr:uid="{C5F1F9AD-FEFF-461D-86F0-4D8EF95F0B3E}"/>
    <cellStyle name="Moneda 25 2 3 2" xfId="11635" xr:uid="{861792ED-DA68-4861-91DE-A7542B869588}"/>
    <cellStyle name="Moneda 25 2 4" xfId="5512" xr:uid="{C97C07CA-7EA0-4307-B732-68B34981466A}"/>
    <cellStyle name="Moneda 25 2 4 2" xfId="13073" xr:uid="{5AB15322-D713-4380-8113-D6ECAF493836}"/>
    <cellStyle name="Moneda 25 2 5" xfId="6916" xr:uid="{3EF406D9-A25F-489A-9880-33AF3500117D}"/>
    <cellStyle name="Moneda 25 2 5 2" xfId="14445" xr:uid="{68F92990-1635-4AB5-8EA8-C3DD234D1C92}"/>
    <cellStyle name="Moneda 25 2 6" xfId="8715" xr:uid="{A5F42B21-3DD2-418B-BE46-F383483EB1C0}"/>
    <cellStyle name="Moneda 25 3" xfId="1471" xr:uid="{0D675C2E-3A3F-4F90-A998-C73F78CFC5A9}"/>
    <cellStyle name="Moneda 25 3 2" xfId="2627" xr:uid="{05E97561-94A4-44C8-8C63-02FA7387D198}"/>
    <cellStyle name="Moneda 25 3 2 2" xfId="10210" xr:uid="{48184C26-2D18-4160-BBC4-597FBF707ECB}"/>
    <cellStyle name="Moneda 25 3 3" xfId="4431" xr:uid="{4BDE2E8F-741E-454E-A0BA-E851F7B658B1}"/>
    <cellStyle name="Moneda 25 3 3 2" xfId="11999" xr:uid="{1364811E-E1E5-45AC-AC46-15CC9F59D9A9}"/>
    <cellStyle name="Moneda 25 3 4" xfId="5632" xr:uid="{BD1018F3-3744-4AB1-A9C4-6B4C0B36C682}"/>
    <cellStyle name="Moneda 25 3 4 2" xfId="13193" xr:uid="{6D2263FB-B658-45F8-BE5C-196D18A75DD6}"/>
    <cellStyle name="Moneda 25 3 5" xfId="7036" xr:uid="{4DE036F9-8127-4758-B5A8-BE56468DE02C}"/>
    <cellStyle name="Moneda 25 3 5 2" xfId="14565" xr:uid="{15DB32F3-F5B2-45D8-A101-533A4AD19A7E}"/>
    <cellStyle name="Moneda 25 3 6" xfId="9079" xr:uid="{270D14A3-2420-49A6-A8AB-04DDCB961321}"/>
    <cellStyle name="Moneda 25 4" xfId="1850" xr:uid="{7F752FDB-1991-4404-A82F-365737E03507}"/>
    <cellStyle name="Moneda 25 4 2" xfId="2749" xr:uid="{70D373B9-A5B9-4778-A49C-1C24B8ADCCE2}"/>
    <cellStyle name="Moneda 25 4 2 2" xfId="10332" xr:uid="{85BC35D6-EC77-4623-97C5-DD92671FCA00}"/>
    <cellStyle name="Moneda 25 4 3" xfId="4809" xr:uid="{45BE454E-4576-46C2-B1C6-2327424AC441}"/>
    <cellStyle name="Moneda 25 4 3 2" xfId="12377" xr:uid="{FE0060C8-F27E-401D-9E21-1665FDCCB825}"/>
    <cellStyle name="Moneda 25 4 4" xfId="5754" xr:uid="{989A76DC-4DF9-41B5-8459-3B29B378B6B8}"/>
    <cellStyle name="Moneda 25 4 4 2" xfId="13315" xr:uid="{8A358C7C-FB90-426F-9365-F771299C7E74}"/>
    <cellStyle name="Moneda 25 4 5" xfId="7158" xr:uid="{B182A8AE-B280-4730-90D9-2AB115113476}"/>
    <cellStyle name="Moneda 25 4 5 2" xfId="14687" xr:uid="{477B1CCB-3524-4100-8E49-38C7598A4E5D}"/>
    <cellStyle name="Moneda 25 4 6" xfId="9457" xr:uid="{F8984E28-74D1-45CE-BA86-D90F135A61CA}"/>
    <cellStyle name="Moneda 25 5" xfId="2874" xr:uid="{AAFC80BF-C12D-4649-A3B6-6450CECEF374}"/>
    <cellStyle name="Moneda 25 5 2" xfId="5878" xr:uid="{DBBC29A7-6EF7-406C-823D-AFDBC6003320}"/>
    <cellStyle name="Moneda 25 5 2 2" xfId="13439" xr:uid="{2099D0A3-1528-4405-B92C-5E7B5A02133F}"/>
    <cellStyle name="Moneda 25 5 3" xfId="7282" xr:uid="{77E5F4DE-4729-4CEC-A8B5-D8DA1E62A128}"/>
    <cellStyle name="Moneda 25 5 3 2" xfId="14811" xr:uid="{242028BC-C9AC-422F-A5CB-C524D55C5092}"/>
    <cellStyle name="Moneda 25 5 4" xfId="10456" xr:uid="{B4EAAA7A-DFC2-49AB-AFFF-3617D7424871}"/>
    <cellStyle name="Moneda 25 6" xfId="2998" xr:uid="{EC8ACAA9-199B-4413-BAD0-3CA0681F2840}"/>
    <cellStyle name="Moneda 25 6 2" xfId="6002" xr:uid="{36AC8AA7-B40E-4E41-92AA-C2EA0BEF9AD9}"/>
    <cellStyle name="Moneda 25 6 2 2" xfId="13563" xr:uid="{FBDAA46A-E071-4F24-849E-51F60B13E058}"/>
    <cellStyle name="Moneda 25 6 3" xfId="7406" xr:uid="{3855A5C9-08C5-4D48-9B55-242CCCC48C27}"/>
    <cellStyle name="Moneda 25 6 3 2" xfId="14935" xr:uid="{DD250543-AF76-48EF-BEE8-3915D716124D}"/>
    <cellStyle name="Moneda 25 6 4" xfId="10580" xr:uid="{7ED45C17-E224-42FC-8062-C7350AC48976}"/>
    <cellStyle name="Moneda 25 7" xfId="3122" xr:uid="{EA581447-0E39-4907-BB95-7BF9BEAB0EA8}"/>
    <cellStyle name="Moneda 25 7 2" xfId="6126" xr:uid="{47269B5D-674B-43D6-A2E0-C7891AED2B76}"/>
    <cellStyle name="Moneda 25 7 2 2" xfId="13687" xr:uid="{8A4EDAA2-2A83-42FD-BE1E-D0DB8C640015}"/>
    <cellStyle name="Moneda 25 7 3" xfId="7530" xr:uid="{F4BDD332-C77F-47A0-9201-34712B20442D}"/>
    <cellStyle name="Moneda 25 7 3 2" xfId="15059" xr:uid="{C4A19F86-D746-410F-962D-C16E2EFA0D25}"/>
    <cellStyle name="Moneda 25 7 4" xfId="10704" xr:uid="{123A398D-7C89-4AF7-B6F1-7C23B0E63271}"/>
    <cellStyle name="Moneda 25 8" xfId="3247" xr:uid="{7147626D-4745-4834-893E-041933FCF840}"/>
    <cellStyle name="Moneda 25 8 2" xfId="6251" xr:uid="{2424FB04-D971-4EB0-8C98-481133060B09}"/>
    <cellStyle name="Moneda 25 8 2 2" xfId="13812" xr:uid="{4269E1D0-D454-4714-8EB8-507A4C75A274}"/>
    <cellStyle name="Moneda 25 8 3" xfId="7655" xr:uid="{B1A2E916-C7ED-4440-B3C5-EC5660A75DC1}"/>
    <cellStyle name="Moneda 25 8 3 2" xfId="15184" xr:uid="{60B25E5B-DD0F-473D-9A8D-F62AA057F10D}"/>
    <cellStyle name="Moneda 25 8 4" xfId="10829" xr:uid="{7C201F15-CBE4-465B-8593-AAAEC386F61C}"/>
    <cellStyle name="Moneda 25 9" xfId="3375" xr:uid="{EC2DEC36-E2C6-4338-93FC-5E2EAFA4A6BA}"/>
    <cellStyle name="Moneda 25 9 2" xfId="6377" xr:uid="{26DEBA2B-DF0B-4A7A-8845-9D7863A167CC}"/>
    <cellStyle name="Moneda 25 9 2 2" xfId="13938" xr:uid="{4273F3E5-D643-49C9-A5D8-EE31B1D6FFD9}"/>
    <cellStyle name="Moneda 25 9 3" xfId="7781" xr:uid="{D70A86BD-07BE-4807-9CA0-FBE2A847BEFA}"/>
    <cellStyle name="Moneda 25 9 3 2" xfId="15310" xr:uid="{02D255EE-5ACA-47D7-B81F-32FD6B33BFBB}"/>
    <cellStyle name="Moneda 25 9 4" xfId="10955" xr:uid="{22780AB4-E548-4882-8316-05432224F373}"/>
    <cellStyle name="Moneda 250" xfId="958" xr:uid="{E72687A9-EF4B-4804-BF70-6E8FE4C91BE0}"/>
    <cellStyle name="Moneda 250 2" xfId="2304" xr:uid="{D5B6CF88-41DE-4B15-BB7E-B5E048A4D68E}"/>
    <cellStyle name="Moneda 250 2 2" xfId="5260" xr:uid="{BE3055B4-1E92-4A92-8B89-AFDB70C8243D}"/>
    <cellStyle name="Moneda 250 2 2 2" xfId="12828" xr:uid="{4177F6B3-BA45-4A50-B0D7-AF468E628E49}"/>
    <cellStyle name="Moneda 250 2 3" xfId="9908" xr:uid="{8326116B-D7D9-479B-87CB-4AC0AFD1A9FE}"/>
    <cellStyle name="Moneda 250 3" xfId="3990" xr:uid="{FDF2D8FF-4ECD-4AE3-A9DA-BC1E48FC9C44}"/>
    <cellStyle name="Moneda 250 3 2" xfId="11558" xr:uid="{82B56960-4E10-40FA-9537-7069D6DD9278}"/>
    <cellStyle name="Moneda 250 4" xfId="8638" xr:uid="{B57A75EB-AD4C-486C-8C2C-97AAD80B8DA9}"/>
    <cellStyle name="Moneda 251" xfId="955" xr:uid="{4EEE88D1-30D0-4258-970F-9CA7353368D4}"/>
    <cellStyle name="Moneda 251 2" xfId="3989" xr:uid="{2F0EE775-FF5B-4415-B302-19FA01EA69F9}"/>
    <cellStyle name="Moneda 251 2 2" xfId="11557" xr:uid="{FDDBAD24-6417-440A-A052-305740746B12}"/>
    <cellStyle name="Moneda 251 3" xfId="8637" xr:uid="{8987CB57-6F8E-4293-8DDA-FCB05F03E7C1}"/>
    <cellStyle name="Moneda 252" xfId="973" xr:uid="{233E8303-C6B0-4D60-94E4-BE7DD75A58F9}"/>
    <cellStyle name="Moneda 252 2" xfId="3995" xr:uid="{E4E6933A-C6B9-4C0E-A258-4D260DD99E9E}"/>
    <cellStyle name="Moneda 252 2 2" xfId="11563" xr:uid="{E47EEFC6-EDBF-490E-9543-444948ECAE7C}"/>
    <cellStyle name="Moneda 252 3" xfId="8643" xr:uid="{D5127DFE-D395-4D1D-9528-AF5040D67A96}"/>
    <cellStyle name="Moneda 253" xfId="943" xr:uid="{C7CFBEB5-5D5F-4BC3-B7F5-FAD3C8E30564}"/>
    <cellStyle name="Moneda 253 2" xfId="3983" xr:uid="{C899A14A-54E9-45F9-A7F1-E2404F836224}"/>
    <cellStyle name="Moneda 253 2 2" xfId="11551" xr:uid="{8C6757DA-A6FC-4C0D-A60F-3139CA2757C9}"/>
    <cellStyle name="Moneda 253 3" xfId="8631" xr:uid="{21A714FB-4A9D-49A7-A2F5-A18DA7AFA845}"/>
    <cellStyle name="Moneda 254" xfId="950" xr:uid="{6D447968-F31F-4AC0-8E61-609018BA4B1A}"/>
    <cellStyle name="Moneda 254 2" xfId="3987" xr:uid="{5B6220F4-1BDE-4FDB-8B20-3BB897B074F3}"/>
    <cellStyle name="Moneda 254 2 2" xfId="11555" xr:uid="{550FAC8F-1195-406C-A5B0-45283FB6B02C}"/>
    <cellStyle name="Moneda 254 3" xfId="8635" xr:uid="{96B4352F-A669-4516-97AB-12D4F98F46FA}"/>
    <cellStyle name="Moneda 255" xfId="933" xr:uid="{CDAF8F16-05B4-498B-93D3-2D33EE0C1587}"/>
    <cellStyle name="Moneda 255 2" xfId="3978" xr:uid="{0E7254EF-64A0-4D09-8678-007BF4FADD71}"/>
    <cellStyle name="Moneda 255 2 2" xfId="11546" xr:uid="{906CC071-0E5E-4884-92D3-27CE3698617C}"/>
    <cellStyle name="Moneda 255 3" xfId="8626" xr:uid="{F78EF7C4-3927-4291-BC93-4186DC975FDF}"/>
    <cellStyle name="Moneda 256" xfId="971" xr:uid="{B3A4B60E-AFF2-432C-A58B-A6CDC6B02E90}"/>
    <cellStyle name="Moneda 256 2" xfId="3994" xr:uid="{7A1BA8B6-FABA-4EA5-AE4A-040C8F7030B0}"/>
    <cellStyle name="Moneda 256 2 2" xfId="11562" xr:uid="{A7BA7A58-F3B1-4329-8E6B-1EC8A546A992}"/>
    <cellStyle name="Moneda 256 3" xfId="8642" xr:uid="{B5885173-9D76-4A13-AAE9-36535B6E1EF1}"/>
    <cellStyle name="Moneda 257" xfId="961" xr:uid="{2FF32404-1CF5-4244-80E0-6D72B0343360}"/>
    <cellStyle name="Moneda 257 2" xfId="3991" xr:uid="{F34EDF93-0912-4C6C-AF88-41FF8D7F27A4}"/>
    <cellStyle name="Moneda 257 2 2" xfId="11559" xr:uid="{E1999692-6E4A-4A60-BAF4-A898BBB615F8}"/>
    <cellStyle name="Moneda 257 3" xfId="8639" xr:uid="{9AC02C33-03AC-48ED-9ACC-B35C78B346D6}"/>
    <cellStyle name="Moneda 258" xfId="963" xr:uid="{4C30E168-2AC6-4E4C-B865-5F5F73F50279}"/>
    <cellStyle name="Moneda 258 2" xfId="3993" xr:uid="{9D0997DB-6F40-4980-AF11-97D4D84B814F}"/>
    <cellStyle name="Moneda 258 2 2" xfId="11561" xr:uid="{8FAC47AF-C284-45D7-9CD3-5FC8AACA6E9F}"/>
    <cellStyle name="Moneda 258 3" xfId="8641" xr:uid="{F5D396BC-4D9F-468E-A53A-702CF7E9410D}"/>
    <cellStyle name="Moneda 259" xfId="998" xr:uid="{BE1BF05B-BCAF-4D75-BAEA-3884A91AA335}"/>
    <cellStyle name="Moneda 259 2" xfId="3999" xr:uid="{676E87B5-5BFA-4069-9C55-088D636E7E50}"/>
    <cellStyle name="Moneda 259 2 2" xfId="11567" xr:uid="{1E562D49-23AE-453A-9B10-1E46FF7B3F26}"/>
    <cellStyle name="Moneda 259 3" xfId="8647" xr:uid="{A1C0F883-889F-45DA-AAD4-5D405BDD8D3C}"/>
    <cellStyle name="Moneda 26" xfId="262" xr:uid="{1B02016C-6755-4FD5-B3EB-46911C2D358F}"/>
    <cellStyle name="Moneda 26 10" xfId="3538" xr:uid="{9F83B3AF-1DF3-43C1-B430-B4AD9D7C1CB2}"/>
    <cellStyle name="Moneda 26 10 2" xfId="11106" xr:uid="{DCB0BFA9-DA86-4895-A701-F7AE3A8C900E}"/>
    <cellStyle name="Moneda 26 11" xfId="5450" xr:uid="{590CB429-7D15-46F9-9C6E-373FEAF5494A}"/>
    <cellStyle name="Moneda 26 11 2" xfId="13011" xr:uid="{47B94E1A-2155-4FEF-9DE0-D9376F02F9EA}"/>
    <cellStyle name="Moneda 26 12" xfId="6854" xr:uid="{871CD734-94E5-4DA0-8295-F5FE5C9E3587}"/>
    <cellStyle name="Moneda 26 12 2" xfId="14383" xr:uid="{6310A72C-FD74-4AB4-847B-C17A0DB12702}"/>
    <cellStyle name="Moneda 26 13" xfId="8186" xr:uid="{25C4B2D6-0BC4-4FB3-9299-58A763F805B9}"/>
    <cellStyle name="Moneda 26 2" xfId="1109" xr:uid="{D3E3B329-2919-4C5C-BA99-B453234B5E4D}"/>
    <cellStyle name="Moneda 26 2 2" xfId="2685" xr:uid="{1B00E8DA-B8DD-43DA-A1CA-AB2191E5E4A7}"/>
    <cellStyle name="Moneda 26 2 2 2" xfId="6706" xr:uid="{1AB92000-C649-4DF5-8D50-D99564CE1106}"/>
    <cellStyle name="Moneda 26 2 2 2 2" xfId="14249" xr:uid="{6DDD8D49-9F8D-48AE-9ECC-16AA1A04DDB5}"/>
    <cellStyle name="Moneda 26 2 2 3" xfId="8092" xr:uid="{333B9980-CE75-435F-A50A-452BACE05851}"/>
    <cellStyle name="Moneda 26 2 2 3 2" xfId="15621" xr:uid="{61D6B097-C233-4C03-819C-5C582257563B}"/>
    <cellStyle name="Moneda 26 2 2 4" xfId="10268" xr:uid="{16F0D3AA-874B-4256-8D2F-7180A403319A}"/>
    <cellStyle name="Moneda 26 2 3" xfId="4069" xr:uid="{1825BED1-B6D7-4A96-B267-C25C7DE9014B}"/>
    <cellStyle name="Moneda 26 2 3 2" xfId="11637" xr:uid="{AC205AB9-8925-48AB-8166-684CB90E80B3}"/>
    <cellStyle name="Moneda 26 2 4" xfId="5690" xr:uid="{0AB34F9A-3F45-41AB-85FB-0E49BD6B6977}"/>
    <cellStyle name="Moneda 26 2 4 2" xfId="13251" xr:uid="{A35D7746-220D-4390-9308-2DA691408FB9}"/>
    <cellStyle name="Moneda 26 2 5" xfId="7094" xr:uid="{0D374AEB-F5C5-4BBD-84DA-B7360EC47E92}"/>
    <cellStyle name="Moneda 26 2 5 2" xfId="14623" xr:uid="{B640F2E0-DC16-431A-8537-20F251E16A3E}"/>
    <cellStyle name="Moneda 26 2 6" xfId="8717" xr:uid="{F9DDA2A3-2266-42B6-BC48-6108DA7104DA}"/>
    <cellStyle name="Moneda 26 3" xfId="1473" xr:uid="{1FCE7185-1EF2-403D-9BFB-0CCD4104159F}"/>
    <cellStyle name="Moneda 26 3 2" xfId="2807" xr:uid="{48592209-D8FD-467F-A7FF-5EAC6AF4AA2E}"/>
    <cellStyle name="Moneda 26 3 2 2" xfId="10390" xr:uid="{BF1DE328-F7E8-4C5A-BD67-CA67E5D50353}"/>
    <cellStyle name="Moneda 26 3 3" xfId="4433" xr:uid="{6E41526E-4836-4BF6-ABE7-E66B79ED4EFF}"/>
    <cellStyle name="Moneda 26 3 3 2" xfId="12001" xr:uid="{2CB03446-ACFF-44AE-8F7D-58262D71BCA0}"/>
    <cellStyle name="Moneda 26 3 4" xfId="5812" xr:uid="{9637FB8A-8F27-45AE-A87E-5A4457250C54}"/>
    <cellStyle name="Moneda 26 3 4 2" xfId="13373" xr:uid="{259669EB-C729-4724-8963-922D0E23793D}"/>
    <cellStyle name="Moneda 26 3 5" xfId="7216" xr:uid="{06618E9A-816B-4778-BD4F-6E1D3F8A45C1}"/>
    <cellStyle name="Moneda 26 3 5 2" xfId="14745" xr:uid="{7B081EC4-74EF-4731-AE1E-89D772AE6E9A}"/>
    <cellStyle name="Moneda 26 3 6" xfId="9081" xr:uid="{EF3DBBD6-419A-4DF7-9935-955439D39DA2}"/>
    <cellStyle name="Moneda 26 4" xfId="1852" xr:uid="{B314EC00-F4DD-4917-B543-3D9924F668D9}"/>
    <cellStyle name="Moneda 26 4 2" xfId="2932" xr:uid="{53A8D2FE-F489-4A5F-B5D3-7E3DC5EED01F}"/>
    <cellStyle name="Moneda 26 4 2 2" xfId="10514" xr:uid="{2002C5CB-D5AC-4F83-9208-C57F07FB028E}"/>
    <cellStyle name="Moneda 26 4 3" xfId="4811" xr:uid="{6CC925FC-43D9-4F17-AB50-4EB22621CEC2}"/>
    <cellStyle name="Moneda 26 4 3 2" xfId="12379" xr:uid="{BB7A3B75-51BC-4C12-8074-404C0A3E2E1A}"/>
    <cellStyle name="Moneda 26 4 4" xfId="5936" xr:uid="{13B99D97-4026-449E-BEA6-57A7801D9647}"/>
    <cellStyle name="Moneda 26 4 4 2" xfId="13497" xr:uid="{F0EA6E2E-0201-4A32-9B9A-CBBC51E8BD6B}"/>
    <cellStyle name="Moneda 26 4 5" xfId="7340" xr:uid="{1A919252-C541-43BE-B609-FB0859F40F41}"/>
    <cellStyle name="Moneda 26 4 5 2" xfId="14869" xr:uid="{CDD691F8-C9ED-4894-A01D-DF1EB1569209}"/>
    <cellStyle name="Moneda 26 4 6" xfId="9459" xr:uid="{0CF5CABF-5FC9-4837-A34F-074D0DE73DCE}"/>
    <cellStyle name="Moneda 26 5" xfId="3056" xr:uid="{B44FCA4F-C2B5-49AD-8FE5-84A5646DA94F}"/>
    <cellStyle name="Moneda 26 5 2" xfId="6060" xr:uid="{8D34F713-A6A5-406D-A290-E09B08D9562B}"/>
    <cellStyle name="Moneda 26 5 2 2" xfId="13621" xr:uid="{B1289B1A-3E20-430A-BF42-0149D39271F6}"/>
    <cellStyle name="Moneda 26 5 3" xfId="7464" xr:uid="{264B4072-5334-4112-8BDE-1F273B2CD390}"/>
    <cellStyle name="Moneda 26 5 3 2" xfId="14993" xr:uid="{0B46F013-AA83-4FEE-8251-1CAA274ED213}"/>
    <cellStyle name="Moneda 26 5 4" xfId="10638" xr:uid="{02F5F127-A07C-48FB-A3CE-3773A9279960}"/>
    <cellStyle name="Moneda 26 6" xfId="3180" xr:uid="{71EDD81A-2D13-4DFE-ACBA-D7BC311D7A09}"/>
    <cellStyle name="Moneda 26 6 2" xfId="6184" xr:uid="{58FA7343-AAE6-400B-9508-4D7E26337B31}"/>
    <cellStyle name="Moneda 26 6 2 2" xfId="13745" xr:uid="{2AC18F0E-3706-4BF0-A335-440DA8DDBA71}"/>
    <cellStyle name="Moneda 26 6 3" xfId="7588" xr:uid="{C4522378-46A2-4EFD-961B-A1DEDEA72B47}"/>
    <cellStyle name="Moneda 26 6 3 2" xfId="15117" xr:uid="{24677EAF-D346-49AA-9B6E-5F1865B403BA}"/>
    <cellStyle name="Moneda 26 6 4" xfId="10762" xr:uid="{291A25C8-D53C-45E7-BCEF-AF79741A37CC}"/>
    <cellStyle name="Moneda 26 7" xfId="3305" xr:uid="{2AB67BBD-8A01-48DF-BA0A-E937A2C6204A}"/>
    <cellStyle name="Moneda 26 7 2" xfId="6309" xr:uid="{1044967E-E450-4004-ADBD-BF3878FD071A}"/>
    <cellStyle name="Moneda 26 7 2 2" xfId="13870" xr:uid="{F045F953-164F-4974-91A7-EAF978D82C9E}"/>
    <cellStyle name="Moneda 26 7 3" xfId="7713" xr:uid="{890FB75D-FDF9-4B8F-9A11-CACB9313564A}"/>
    <cellStyle name="Moneda 26 7 3 2" xfId="15242" xr:uid="{0E5ADDB4-2CC4-491E-A3CE-C23442494E73}"/>
    <cellStyle name="Moneda 26 7 4" xfId="10887" xr:uid="{DF6F7033-E1F9-4912-9059-B556C4A081AF}"/>
    <cellStyle name="Moneda 26 8" xfId="3433" xr:uid="{0EE52584-8D99-4BD4-A26F-D19F85C64692}"/>
    <cellStyle name="Moneda 26 8 2" xfId="6435" xr:uid="{BDFEA32C-2257-40CF-B8AC-5730479A9DC3}"/>
    <cellStyle name="Moneda 26 8 2 2" xfId="13996" xr:uid="{D40BE284-5228-4F44-96B3-99DD78DE5B33}"/>
    <cellStyle name="Moneda 26 8 3" xfId="7839" xr:uid="{A831202A-0556-4DC0-BC18-18278CE804A4}"/>
    <cellStyle name="Moneda 26 8 3 2" xfId="15368" xr:uid="{9870FB98-5D77-448C-8EB2-78D88E4C258B}"/>
    <cellStyle name="Moneda 26 8 4" xfId="11013" xr:uid="{60B4EA4B-D214-4745-8EA5-D351D0F322DD}"/>
    <cellStyle name="Moneda 26 9" xfId="2440" xr:uid="{F00F0DA2-5C31-4C26-825B-5327C7A95B24}"/>
    <cellStyle name="Moneda 26 9 2" xfId="6571" xr:uid="{456672D5-057A-4858-83E6-5F591AE99E73}"/>
    <cellStyle name="Moneda 26 9 2 2" xfId="14127" xr:uid="{EC0C9A2A-A611-485D-821E-BF573DEA29BC}"/>
    <cellStyle name="Moneda 26 9 3" xfId="7970" xr:uid="{FE3BDCAC-5324-4691-9F73-1D7DB9F7F1E3}"/>
    <cellStyle name="Moneda 26 9 3 2" xfId="15499" xr:uid="{3FA6E08D-08F8-46E3-BE3B-33789923A32E}"/>
    <cellStyle name="Moneda 26 9 4" xfId="10028" xr:uid="{8F11B447-4A85-4620-B83A-21DDA91275BD}"/>
    <cellStyle name="Moneda 260" xfId="942" xr:uid="{D86D9817-A123-4DE8-B772-45E66B574D98}"/>
    <cellStyle name="Moneda 260 2" xfId="3982" xr:uid="{9D4489DE-F82E-41DF-8BAA-4242AD73982E}"/>
    <cellStyle name="Moneda 260 2 2" xfId="11550" xr:uid="{9532348B-5D25-4638-BA4A-0F94CB9C8FA0}"/>
    <cellStyle name="Moneda 260 3" xfId="8630" xr:uid="{240CCEB9-8041-4467-B1B8-C4987155D60E}"/>
    <cellStyle name="Moneda 261" xfId="949" xr:uid="{39FDC946-10D6-47A1-9427-DA9275AFC4E4}"/>
    <cellStyle name="Moneda 261 2" xfId="3986" xr:uid="{8D537615-A492-4EA8-BD77-0D0804D5BA9F}"/>
    <cellStyle name="Moneda 261 2 2" xfId="11554" xr:uid="{114DB645-F03C-47CE-9F36-E2194E43B12F}"/>
    <cellStyle name="Moneda 261 3" xfId="8634" xr:uid="{EE3EB296-F421-42AF-8C9A-3E506F62BF96}"/>
    <cellStyle name="Moneda 262" xfId="1007" xr:uid="{A6900225-BCAD-4D03-8BC6-425797FEB988}"/>
    <cellStyle name="Moneda 262 2" xfId="4000" xr:uid="{4FEC8BD9-5FE8-42D2-B0B1-E82E24AE5773}"/>
    <cellStyle name="Moneda 262 2 2" xfId="11568" xr:uid="{ADFBB599-D029-4105-8012-36B0DDDA8BC0}"/>
    <cellStyle name="Moneda 262 3" xfId="8648" xr:uid="{26D184D3-C7F5-4C56-9E59-31446C0B4284}"/>
    <cellStyle name="Moneda 263" xfId="962" xr:uid="{34A1B4A4-1CCD-44F4-BCE7-4B2CB7E93C8B}"/>
    <cellStyle name="Moneda 263 2" xfId="3992" xr:uid="{4F16F3F1-0455-4D5F-BFB3-E5E3FEC04EF4}"/>
    <cellStyle name="Moneda 263 2 2" xfId="11560" xr:uid="{CF7258C8-B74F-42F6-A38E-315540ADA3D3}"/>
    <cellStyle name="Moneda 263 3" xfId="8640" xr:uid="{D6B4AA9D-8477-4BF2-850F-9F4B6C576000}"/>
    <cellStyle name="Moneda 264" xfId="995" xr:uid="{C770E537-EA31-49DF-8D95-5AAD063CEAA1}"/>
    <cellStyle name="Moneda 264 2" xfId="3998" xr:uid="{272B1FB3-7A81-4DFB-93D8-CF6D8F1CAF41}"/>
    <cellStyle name="Moneda 264 2 2" xfId="11566" xr:uid="{63392C83-A8D1-46DD-901C-7B4CF838F634}"/>
    <cellStyle name="Moneda 264 3" xfId="8646" xr:uid="{28690B8B-75D2-4445-B256-7B94B8F46DE0}"/>
    <cellStyle name="Moneda 265" xfId="1048" xr:uid="{8CF3FC26-D394-4589-BF69-6C7D1668D830}"/>
    <cellStyle name="Moneda 265 2" xfId="4008" xr:uid="{F7AF9166-7848-42DA-BEB8-05DD13C89DF7}"/>
    <cellStyle name="Moneda 265 2 2" xfId="11576" xr:uid="{51A20680-F416-4DFD-B8F7-691AE699F9CD}"/>
    <cellStyle name="Moneda 265 3" xfId="8656" xr:uid="{BC8BA912-226B-414F-A3CE-21B2DA1E13AB}"/>
    <cellStyle name="Moneda 266" xfId="954" xr:uid="{87C0E41E-F8AB-4E11-A406-C632B9D744C3}"/>
    <cellStyle name="Moneda 266 2" xfId="3988" xr:uid="{67504268-4DBF-45E8-AE63-C5DDE703F79D}"/>
    <cellStyle name="Moneda 266 2 2" xfId="11556" xr:uid="{84847EA7-0C82-4692-BBC9-951124DBBC5A}"/>
    <cellStyle name="Moneda 266 3" xfId="8636" xr:uid="{8C07FC72-E91F-4ED0-8568-84EF71D8BB12}"/>
    <cellStyle name="Moneda 267" xfId="1045" xr:uid="{B7811895-9B5D-4057-9AAB-F00BA7C35558}"/>
    <cellStyle name="Moneda 267 2" xfId="4006" xr:uid="{B7D1E3BB-7018-43FB-A509-A67CE029CD47}"/>
    <cellStyle name="Moneda 267 2 2" xfId="11574" xr:uid="{5DA6BDC2-EADA-4834-AD96-BFDAC70195CB}"/>
    <cellStyle name="Moneda 267 3" xfId="8654" xr:uid="{2ADDA89A-5AB4-403A-B9BE-3DEDE13EA059}"/>
    <cellStyle name="Moneda 268" xfId="1051" xr:uid="{AF244FB3-8EB3-46E1-AE18-8F17526432FA}"/>
    <cellStyle name="Moneda 268 2" xfId="4011" xr:uid="{A059D8D8-8AA9-4061-A9FC-AE0626330223}"/>
    <cellStyle name="Moneda 268 2 2" xfId="11579" xr:uid="{99E4D909-38F7-476C-B1BC-FDD3E6567D2C}"/>
    <cellStyle name="Moneda 268 3" xfId="8659" xr:uid="{D2D899F3-33FF-4FEB-A354-B38D66BB36CA}"/>
    <cellStyle name="Moneda 269" xfId="1052" xr:uid="{90312B1C-5631-4E3A-8EAB-36038D8E8552}"/>
    <cellStyle name="Moneda 269 2" xfId="4012" xr:uid="{2611611A-F709-4AA0-B90D-63E648DC0C7D}"/>
    <cellStyle name="Moneda 269 2 2" xfId="11580" xr:uid="{334555B3-7E85-4473-8CB0-B4BAA9390BAB}"/>
    <cellStyle name="Moneda 269 3" xfId="8660" xr:uid="{37DD1F84-B3D3-4690-BA97-1F34FFBE7E32}"/>
    <cellStyle name="Moneda 27" xfId="265" xr:uid="{5BA108CD-014D-489F-A294-30A94D9B47B4}"/>
    <cellStyle name="Moneda 27 10" xfId="3540" xr:uid="{129FACD5-B37E-4FC4-A634-076944220309}"/>
    <cellStyle name="Moneda 27 10 2" xfId="11108" xr:uid="{C40210D4-7262-4639-866B-AFE402984378}"/>
    <cellStyle name="Moneda 27 11" xfId="5453" xr:uid="{E340150C-E877-46F2-A18E-1CAFAC74DF6A}"/>
    <cellStyle name="Moneda 27 11 2" xfId="13014" xr:uid="{03E17B22-6905-4C9F-B433-9E8DF2BE91FD}"/>
    <cellStyle name="Moneda 27 12" xfId="6857" xr:uid="{6B096DFB-6401-4462-BACF-2323ADC074DA}"/>
    <cellStyle name="Moneda 27 12 2" xfId="14386" xr:uid="{A4B63884-A0E6-4300-891C-E5855B505F2B}"/>
    <cellStyle name="Moneda 27 13" xfId="8188" xr:uid="{D2799A48-403E-4488-AC8C-57B99AA9BFD5}"/>
    <cellStyle name="Moneda 27 2" xfId="1111" xr:uid="{362BC03A-C5EF-46CE-B942-98ABB912B919}"/>
    <cellStyle name="Moneda 27 2 2" xfId="2569" xr:uid="{F67F95AD-9EBF-4EBD-AE45-A74A3F46DC84}"/>
    <cellStyle name="Moneda 27 2 2 2" xfId="6580" xr:uid="{73D11BB8-272C-4609-9D90-3009A11F6DC1}"/>
    <cellStyle name="Moneda 27 2 2 2 2" xfId="14133" xr:uid="{B0411143-661F-4B3C-94BE-6F49EFB59ADA}"/>
    <cellStyle name="Moneda 27 2 2 3" xfId="7976" xr:uid="{D6BAB77F-191A-4D42-87B1-A4841528F755}"/>
    <cellStyle name="Moneda 27 2 2 3 2" xfId="15505" xr:uid="{A0389166-3A95-4060-AC49-AA91BBC149AC}"/>
    <cellStyle name="Moneda 27 2 2 4" xfId="10152" xr:uid="{087A8CAD-80BC-4177-915F-BED53BB1AC52}"/>
    <cellStyle name="Moneda 27 2 3" xfId="4071" xr:uid="{CFD3F410-FA8A-4F39-9313-A4522CA685F6}"/>
    <cellStyle name="Moneda 27 2 3 2" xfId="11639" xr:uid="{4917DB00-102E-4284-92FF-165F7DB3FF19}"/>
    <cellStyle name="Moneda 27 2 4" xfId="5574" xr:uid="{92E68DE9-3F31-410B-9436-5A6F0C53B9D8}"/>
    <cellStyle name="Moneda 27 2 4 2" xfId="13135" xr:uid="{121C37EC-78ED-4A81-A7C5-59E2DDC331AA}"/>
    <cellStyle name="Moneda 27 2 5" xfId="6978" xr:uid="{F1AA8A32-F5A9-457F-B981-B1227C5B60B9}"/>
    <cellStyle name="Moneda 27 2 5 2" xfId="14507" xr:uid="{746DE435-53BA-465D-866F-7DCE8415C368}"/>
    <cellStyle name="Moneda 27 2 6" xfId="8719" xr:uid="{B77FF5B5-EA77-4F73-B262-6ADDCD16722D}"/>
    <cellStyle name="Moneda 27 3" xfId="1475" xr:uid="{42904F95-6A0E-42E1-93AD-2A9459648632}"/>
    <cellStyle name="Moneda 27 3 2" xfId="2691" xr:uid="{8B4A0629-157F-4272-8115-242CAFCE1E24}"/>
    <cellStyle name="Moneda 27 3 2 2" xfId="10274" xr:uid="{FE6215CE-33AD-4D74-8E2C-93DCDE41063D}"/>
    <cellStyle name="Moneda 27 3 3" xfId="4435" xr:uid="{FDE2E549-BFC6-4E9E-A0BF-261CECE4D761}"/>
    <cellStyle name="Moneda 27 3 3 2" xfId="12003" xr:uid="{7727A31D-9659-46C3-B597-AAD653C30F7C}"/>
    <cellStyle name="Moneda 27 3 4" xfId="5696" xr:uid="{5A1AD2C9-8334-4914-8727-62268934ADE5}"/>
    <cellStyle name="Moneda 27 3 4 2" xfId="13257" xr:uid="{0948CC08-EF3D-4A06-B1C7-1B8C16FFB31E}"/>
    <cellStyle name="Moneda 27 3 5" xfId="7100" xr:uid="{64890DA4-735E-4801-B0B0-703C06CD0247}"/>
    <cellStyle name="Moneda 27 3 5 2" xfId="14629" xr:uid="{6F13784F-DCF1-4F0D-B8BF-7314E85926A8}"/>
    <cellStyle name="Moneda 27 3 6" xfId="9083" xr:uid="{0A3C6014-A503-4E75-AF7D-492099B7CBE6}"/>
    <cellStyle name="Moneda 27 4" xfId="1854" xr:uid="{393D58F4-F01F-46AB-BA11-BF08B3646250}"/>
    <cellStyle name="Moneda 27 4 2" xfId="2816" xr:uid="{51DE4FD0-5984-43F3-8B7F-84F5382F95F0}"/>
    <cellStyle name="Moneda 27 4 2 2" xfId="10398" xr:uid="{59B6E5B5-3DB6-40FA-B271-0D4088E9DC7C}"/>
    <cellStyle name="Moneda 27 4 3" xfId="4813" xr:uid="{3F6B44B4-6936-4743-9617-3D84930DE5B5}"/>
    <cellStyle name="Moneda 27 4 3 2" xfId="12381" xr:uid="{8A71888E-98F3-403D-8342-FE929EC1D0DA}"/>
    <cellStyle name="Moneda 27 4 4" xfId="5820" xr:uid="{8A523749-7329-4D27-BBE1-72FBC3881E47}"/>
    <cellStyle name="Moneda 27 4 4 2" xfId="13381" xr:uid="{E78758CF-0C5C-4078-802F-1487B9764080}"/>
    <cellStyle name="Moneda 27 4 5" xfId="7224" xr:uid="{5564783B-5642-4BC2-91D1-B4EC53339C47}"/>
    <cellStyle name="Moneda 27 4 5 2" xfId="14753" xr:uid="{7DB8FC5A-4FB1-4383-8938-3728B50E61AA}"/>
    <cellStyle name="Moneda 27 4 6" xfId="9461" xr:uid="{42FE4B99-3D4E-4EB1-8F15-5E1023DCEDE3}"/>
    <cellStyle name="Moneda 27 5" xfId="2940" xr:uid="{F52109FB-49C6-44C0-B74F-CE0E89056ABD}"/>
    <cellStyle name="Moneda 27 5 2" xfId="5944" xr:uid="{34186EEA-D508-40D9-98BC-208D6365B34C}"/>
    <cellStyle name="Moneda 27 5 2 2" xfId="13505" xr:uid="{E15BA296-0471-4C01-BBFF-1DE6C05312CA}"/>
    <cellStyle name="Moneda 27 5 3" xfId="7348" xr:uid="{3B1209F7-DCC6-4E75-B02B-B8AF8D53648C}"/>
    <cellStyle name="Moneda 27 5 3 2" xfId="14877" xr:uid="{D2124F8B-2894-4314-A4EE-690ADC21D68C}"/>
    <cellStyle name="Moneda 27 5 4" xfId="10522" xr:uid="{0698FF07-6C8C-4AED-87C1-1615B287406E}"/>
    <cellStyle name="Moneda 27 6" xfId="3064" xr:uid="{9A40B999-3ED6-461D-9277-4BDDB20939FE}"/>
    <cellStyle name="Moneda 27 6 2" xfId="6068" xr:uid="{D2737DF3-1A8A-48B1-93F1-C55F1672DC9A}"/>
    <cellStyle name="Moneda 27 6 2 2" xfId="13629" xr:uid="{1B3061C2-2C5A-4671-B5CA-C3A3DB82C664}"/>
    <cellStyle name="Moneda 27 6 3" xfId="7472" xr:uid="{7CB01FF4-3D51-499F-8188-21FF770B4F06}"/>
    <cellStyle name="Moneda 27 6 3 2" xfId="15001" xr:uid="{A86B7CD1-9DBB-4673-91C3-847356A0F203}"/>
    <cellStyle name="Moneda 27 6 4" xfId="10646" xr:uid="{0AD473A2-1231-468A-A857-A4C291D5E2BF}"/>
    <cellStyle name="Moneda 27 7" xfId="3189" xr:uid="{95B4DF8A-1383-482D-9243-041C97F0CCD2}"/>
    <cellStyle name="Moneda 27 7 2" xfId="6193" xr:uid="{487A5832-F53D-45D9-B290-BBB1BEA87A09}"/>
    <cellStyle name="Moneda 27 7 2 2" xfId="13754" xr:uid="{8D786F0B-5D2C-49E2-A431-81ECD7787F4B}"/>
    <cellStyle name="Moneda 27 7 3" xfId="7597" xr:uid="{8A039726-5DDB-40B3-8CE4-342B61E53572}"/>
    <cellStyle name="Moneda 27 7 3 2" xfId="15126" xr:uid="{36E61437-6B99-4C97-95A6-49BBB3692A68}"/>
    <cellStyle name="Moneda 27 7 4" xfId="10771" xr:uid="{69A83166-5D7B-4F94-967F-B3A067CB1A0D}"/>
    <cellStyle name="Moneda 27 8" xfId="3317" xr:uid="{48E1B608-43FF-4055-94CD-0C47315A4EB3}"/>
    <cellStyle name="Moneda 27 8 2" xfId="6319" xr:uid="{D5C0F098-C7E5-48D8-9ABA-A73A4F435E80}"/>
    <cellStyle name="Moneda 27 8 2 2" xfId="13880" xr:uid="{74F33055-EFD3-4ACD-AB82-4C2248B3AAB9}"/>
    <cellStyle name="Moneda 27 8 3" xfId="7723" xr:uid="{F285DDFB-004D-4153-9097-3F2E10394E8E}"/>
    <cellStyle name="Moneda 27 8 3 2" xfId="15252" xr:uid="{19F0ED5E-3E6F-4983-8F54-D9BEE1725B1F}"/>
    <cellStyle name="Moneda 27 8 4" xfId="10897" xr:uid="{752B7D60-2ECE-430D-9334-CD6218BDFA9A}"/>
    <cellStyle name="Moneda 27 9" xfId="2444" xr:uid="{D438D724-0934-4157-8BFB-BD5726D860AE}"/>
    <cellStyle name="Moneda 27 9 2" xfId="6453" xr:uid="{31155B8C-4972-42A3-8028-6DE18DCAB09B}"/>
    <cellStyle name="Moneda 27 9 2 2" xfId="14011" xr:uid="{6A70CB96-0007-4DB8-B8C2-42EFABE6559E}"/>
    <cellStyle name="Moneda 27 9 3" xfId="7854" xr:uid="{B00234C1-4850-44AC-BB1C-B2565A88C40D}"/>
    <cellStyle name="Moneda 27 9 3 2" xfId="15383" xr:uid="{4B3B9007-FBD8-4DB2-A1D5-3587CCD55C59}"/>
    <cellStyle name="Moneda 27 9 4" xfId="10031" xr:uid="{7A8EFB8F-86EF-45E5-AF98-0C9088D1C615}"/>
    <cellStyle name="Moneda 270" xfId="1053" xr:uid="{37E3AA6A-21FB-4D5A-82E1-05BD642688A7}"/>
    <cellStyle name="Moneda 270 2" xfId="4013" xr:uid="{84EBFF3E-E465-437C-9568-7830CB27B20E}"/>
    <cellStyle name="Moneda 270 2 2" xfId="11581" xr:uid="{18E22E6D-F097-4039-99D9-CD05E06BD2AD}"/>
    <cellStyle name="Moneda 270 3" xfId="8661" xr:uid="{1C3F646B-12C2-4255-B5B4-0CEBAD13EA72}"/>
    <cellStyle name="Moneda 271" xfId="1054" xr:uid="{F298458B-0922-474D-994E-0C46DF0034A7}"/>
    <cellStyle name="Moneda 271 2" xfId="4014" xr:uid="{AA864FBE-4D40-4082-9645-8028A687E014}"/>
    <cellStyle name="Moneda 271 2 2" xfId="11582" xr:uid="{70C55E9C-2A46-4236-934B-3AAF39ABC222}"/>
    <cellStyle name="Moneda 271 3" xfId="8662" xr:uid="{EE52AB30-C65B-4A98-BED6-306AA37F05DE}"/>
    <cellStyle name="Moneda 272" xfId="1056" xr:uid="{7FFAA5FD-8D10-413A-A149-7C2F6715653A}"/>
    <cellStyle name="Moneda 272 2" xfId="4016" xr:uid="{DCB4E72E-46EA-4155-9990-2B7B18A31BA5}"/>
    <cellStyle name="Moneda 272 2 2" xfId="11584" xr:uid="{2CB7798B-D813-41B2-BA5F-D7E8D394FF41}"/>
    <cellStyle name="Moneda 272 3" xfId="8664" xr:uid="{8D19AD5F-BC88-4381-9A09-4E0304719D43}"/>
    <cellStyle name="Moneda 273" xfId="1414" xr:uid="{B7D55587-30FE-47C7-9EF9-8ACB15C85027}"/>
    <cellStyle name="Moneda 273 2" xfId="4374" xr:uid="{84A6AAAA-93C7-400B-8A14-07E3088D78DD}"/>
    <cellStyle name="Moneda 273 2 2" xfId="11942" xr:uid="{EC335339-375B-4D97-A5A0-0BD4C760FD41}"/>
    <cellStyle name="Moneda 273 3" xfId="9022" xr:uid="{F28D4BAD-6C9D-4F89-B36A-DBC3B7A6CA69}"/>
    <cellStyle name="Moneda 274" xfId="1415" xr:uid="{1E7D19D0-E175-4A15-9EA7-C5B509DB19F8}"/>
    <cellStyle name="Moneda 274 2" xfId="4375" xr:uid="{1BCFFCE2-26CD-40B1-B169-3B1718CDE77B}"/>
    <cellStyle name="Moneda 274 2 2" xfId="11943" xr:uid="{D3C1A3F1-5F84-4013-AE80-2E82C1BF4934}"/>
    <cellStyle name="Moneda 274 3" xfId="9023" xr:uid="{27BAB238-0A9D-4A53-BF88-375F64AE9DF4}"/>
    <cellStyle name="Moneda 275" xfId="116" xr:uid="{E580638E-05E6-4FE2-AE18-27394A3454BC}"/>
    <cellStyle name="Moneda 275 2" xfId="4376" xr:uid="{DCB1B3AC-9B11-47DA-8C75-48920D1AA77B}"/>
    <cellStyle name="Moneda 275 2 2" xfId="11944" xr:uid="{85B47EF0-62CF-4AA5-A852-F528408B6E0C}"/>
    <cellStyle name="Moneda 275 3" xfId="9024" xr:uid="{CDAFD57F-29A1-48AD-8505-650F80366DED}"/>
    <cellStyle name="Moneda 275 4" xfId="1416" xr:uid="{B55B3DC8-6319-4CE3-BC21-30CD2283A871}"/>
    <cellStyle name="Moneda 276" xfId="1417" xr:uid="{1973EBA6-195D-4D7A-9CA6-8E8946182FC5}"/>
    <cellStyle name="Moneda 276 2" xfId="4377" xr:uid="{FF2B2811-C92F-4329-A6AD-D77560B8DDEC}"/>
    <cellStyle name="Moneda 276 2 2" xfId="11945" xr:uid="{FB5DE6E4-C8D5-4E45-B3FE-F49DC2A0C54D}"/>
    <cellStyle name="Moneda 276 3" xfId="9025" xr:uid="{FA3332D3-D5DF-49B7-9B4B-FEBE77FEBE39}"/>
    <cellStyle name="Moneda 277" xfId="1418" xr:uid="{8E8989C3-9A0E-42C8-AB11-105876288AED}"/>
    <cellStyle name="Moneda 277 2" xfId="4378" xr:uid="{FDDB4E5A-94CF-4EB4-887D-222674B3D540}"/>
    <cellStyle name="Moneda 277 2 2" xfId="11946" xr:uid="{0B22B69D-4331-4E37-AA66-73B27F50FCB7}"/>
    <cellStyle name="Moneda 277 3" xfId="9026" xr:uid="{F4DF74D6-1394-47FC-9C6E-94DA59679AA4}"/>
    <cellStyle name="Moneda 278" xfId="1420" xr:uid="{F1B17021-F693-4E30-80FE-281834FC51A8}"/>
    <cellStyle name="Moneda 278 2" xfId="4380" xr:uid="{E02DBF7E-D5B2-456B-8F7C-2E731C061EE1}"/>
    <cellStyle name="Moneda 278 2 2" xfId="11948" xr:uid="{6CE7550B-3B40-4F34-A80B-77F62DD7A4CD}"/>
    <cellStyle name="Moneda 278 3" xfId="9028" xr:uid="{908AE2AD-1099-422D-B1BA-375AB31F9FD7}"/>
    <cellStyle name="Moneda 279" xfId="1784" xr:uid="{478ED6BF-F6F5-45AE-B902-B74ECC95EA07}"/>
    <cellStyle name="Moneda 279 2" xfId="4744" xr:uid="{12CC3C95-BAB1-495F-B421-820036AE2E66}"/>
    <cellStyle name="Moneda 279 2 2" xfId="12312" xr:uid="{23FE0C33-22FD-4BAE-AAFC-18C753265C61}"/>
    <cellStyle name="Moneda 279 3" xfId="9392" xr:uid="{43661E04-D804-4172-BA60-7DB4FA6FD9B3}"/>
    <cellStyle name="Moneda 28" xfId="268" xr:uid="{C416EB59-BDE6-48AB-A7D3-0C770CC99980}"/>
    <cellStyle name="Moneda 28 10" xfId="5570" xr:uid="{F7A3008B-961C-444D-9263-7DEF00FC8FA3}"/>
    <cellStyle name="Moneda 28 10 2" xfId="13131" xr:uid="{90D4DE37-3DEE-42EA-AD5B-484F11711994}"/>
    <cellStyle name="Moneda 28 11" xfId="6974" xr:uid="{C956C176-3406-4E41-9C9A-0F10C7BD5720}"/>
    <cellStyle name="Moneda 28 11 2" xfId="14503" xr:uid="{3380123B-4BD8-4245-B497-96FD2606389C}"/>
    <cellStyle name="Moneda 28 12" xfId="8190" xr:uid="{675DFD47-A2BD-4268-9D1D-A288028A37D2}"/>
    <cellStyle name="Moneda 28 2" xfId="1113" xr:uid="{09C285DF-CE63-4758-8128-07130C90570A}"/>
    <cellStyle name="Moneda 28 2 2" xfId="2811" xr:uid="{D78385B8-0201-44D2-97BB-9510E325AE10}"/>
    <cellStyle name="Moneda 28 2 2 2" xfId="10393" xr:uid="{69ECD4B2-0803-4C70-AD96-EE53503A8AB8}"/>
    <cellStyle name="Moneda 28 2 3" xfId="4073" xr:uid="{8407F82A-05E2-4E63-AB1B-438E091D31E7}"/>
    <cellStyle name="Moneda 28 2 3 2" xfId="11641" xr:uid="{556A317A-632D-48D6-90AC-F9717A07AF50}"/>
    <cellStyle name="Moneda 28 2 4" xfId="5815" xr:uid="{FB33AE90-AAEE-4161-895E-9ABAC9205C60}"/>
    <cellStyle name="Moneda 28 2 4 2" xfId="13376" xr:uid="{8E30C0CD-CF1C-47DB-9D4B-92D2C7BF7D2D}"/>
    <cellStyle name="Moneda 28 2 5" xfId="7219" xr:uid="{4B796F82-7486-4A16-BF39-18254069EDD4}"/>
    <cellStyle name="Moneda 28 2 5 2" xfId="14748" xr:uid="{96779379-C5DD-4E75-95C4-7AF5BAD2D3F9}"/>
    <cellStyle name="Moneda 28 2 6" xfId="8721" xr:uid="{F4597CE4-6D35-43A3-9B14-F56EBD234130}"/>
    <cellStyle name="Moneda 28 3" xfId="1477" xr:uid="{AAB28E7F-FD8E-423A-92FF-E6B836A26592}"/>
    <cellStyle name="Moneda 28 3 2" xfId="2935" xr:uid="{9F35977B-F388-4329-BE28-471FF3EBCF43}"/>
    <cellStyle name="Moneda 28 3 2 2" xfId="10517" xr:uid="{FB215B1F-4329-4215-AB09-6C34B563D1E9}"/>
    <cellStyle name="Moneda 28 3 3" xfId="4437" xr:uid="{2CE22C97-8589-450E-99CC-8F62DCC32971}"/>
    <cellStyle name="Moneda 28 3 3 2" xfId="12005" xr:uid="{7980186F-BB02-4872-9E87-1B6EBF219DFE}"/>
    <cellStyle name="Moneda 28 3 4" xfId="5939" xr:uid="{CED6C869-A7F1-4415-9CDF-2C5FD1B65DCB}"/>
    <cellStyle name="Moneda 28 3 4 2" xfId="13500" xr:uid="{87815883-3DC2-4E5D-AB5A-FCBB88D17044}"/>
    <cellStyle name="Moneda 28 3 5" xfId="7343" xr:uid="{CAD94B24-D696-42C8-AFB6-AEED60390A08}"/>
    <cellStyle name="Moneda 28 3 5 2" xfId="14872" xr:uid="{FF1642C9-BDA7-48E7-A60F-2538A4F89BA2}"/>
    <cellStyle name="Moneda 28 3 6" xfId="9085" xr:uid="{81068A07-CD9F-4CC9-A419-649FBB647B63}"/>
    <cellStyle name="Moneda 28 4" xfId="1856" xr:uid="{2F8D3F48-6CCF-4CA0-8E17-94604498AC84}"/>
    <cellStyle name="Moneda 28 4 2" xfId="3059" xr:uid="{F10BE037-5F5D-4EB0-B1C8-05A2163B5DDC}"/>
    <cellStyle name="Moneda 28 4 2 2" xfId="10641" xr:uid="{88ACDAE1-8060-4CD9-B4FB-68362D0438C3}"/>
    <cellStyle name="Moneda 28 4 3" xfId="4815" xr:uid="{8FB3F442-F0FF-40D5-AA39-BD111DDD870C}"/>
    <cellStyle name="Moneda 28 4 3 2" xfId="12383" xr:uid="{AB70DE60-965B-491D-9435-785418C8F24A}"/>
    <cellStyle name="Moneda 28 4 4" xfId="6063" xr:uid="{1958B817-E1C9-4079-9740-22D7ACA219C9}"/>
    <cellStyle name="Moneda 28 4 4 2" xfId="13624" xr:uid="{779F0E0C-078E-4EFE-9335-BD3720936F29}"/>
    <cellStyle name="Moneda 28 4 5" xfId="7467" xr:uid="{B50B348E-5A37-4FCF-A058-A9A66825DE15}"/>
    <cellStyle name="Moneda 28 4 5 2" xfId="14996" xr:uid="{711AE071-41E2-4E73-AA4F-3CC377B08903}"/>
    <cellStyle name="Moneda 28 4 6" xfId="9463" xr:uid="{F33CF5F8-0364-47AE-A8E9-4AF6B91D1EE3}"/>
    <cellStyle name="Moneda 28 5" xfId="3183" xr:uid="{7D7BB0F2-CCE0-4518-9696-DDEBCCF4383A}"/>
    <cellStyle name="Moneda 28 5 2" xfId="6187" xr:uid="{A26D9949-A444-4E2D-9B49-F8F88A938A7E}"/>
    <cellStyle name="Moneda 28 5 2 2" xfId="13748" xr:uid="{CB625803-09B9-4543-8D1A-4904EA685158}"/>
    <cellStyle name="Moneda 28 5 3" xfId="7591" xr:uid="{69E3DF3D-EBE0-483D-B4FA-B79AD9D8194E}"/>
    <cellStyle name="Moneda 28 5 3 2" xfId="15120" xr:uid="{2DEC1A86-7F25-4DB3-ABB8-32CA747FE2D8}"/>
    <cellStyle name="Moneda 28 5 4" xfId="10765" xr:uid="{C17910D6-9415-42F0-8927-CE63B7E8D651}"/>
    <cellStyle name="Moneda 28 6" xfId="3308" xr:uid="{37C94A7F-635B-4A50-A6CA-3F89B5B95566}"/>
    <cellStyle name="Moneda 28 6 2" xfId="6312" xr:uid="{1EE55A9A-BB82-4DB6-9783-14F811B5C910}"/>
    <cellStyle name="Moneda 28 6 2 2" xfId="13873" xr:uid="{79331C38-8EDC-4D02-B36A-96B8FABDD1E7}"/>
    <cellStyle name="Moneda 28 6 3" xfId="7716" xr:uid="{B7797F95-B601-42FB-AC96-6893BC505794}"/>
    <cellStyle name="Moneda 28 6 3 2" xfId="15245" xr:uid="{5885ED69-722F-4C71-A33D-8FC8DA7486DA}"/>
    <cellStyle name="Moneda 28 6 4" xfId="10890" xr:uid="{2426524C-CC36-442F-8584-BD3FA25AC3E8}"/>
    <cellStyle name="Moneda 28 7" xfId="3436" xr:uid="{89B1E994-FD15-4072-80E6-FC0C083AB892}"/>
    <cellStyle name="Moneda 28 7 2" xfId="6438" xr:uid="{2801A00F-9B2C-4245-B81F-3DF23F8C32C8}"/>
    <cellStyle name="Moneda 28 7 2 2" xfId="13999" xr:uid="{CDE7A332-D97A-472C-B860-5A1EE76ACF14}"/>
    <cellStyle name="Moneda 28 7 3" xfId="7842" xr:uid="{678A1A07-5271-4FF2-B939-B309E3A02A49}"/>
    <cellStyle name="Moneda 28 7 3 2" xfId="15371" xr:uid="{B2321F91-0EBA-4F30-B0E4-639BE4159B4D}"/>
    <cellStyle name="Moneda 28 7 4" xfId="11016" xr:uid="{B718BF02-50FC-40FD-9877-69373380E564}"/>
    <cellStyle name="Moneda 28 8" xfId="2564" xr:uid="{48A76A20-21B4-40A6-94D8-5559804246A2}"/>
    <cellStyle name="Moneda 28 8 2" xfId="6449" xr:uid="{3DCAE4A3-B7B2-4BD6-9D10-2B0BF0393977}"/>
    <cellStyle name="Moneda 28 8 2 2" xfId="14008" xr:uid="{CF8DD8C2-8DA6-48B3-8CD5-B0ADF19ED1C1}"/>
    <cellStyle name="Moneda 28 8 3" xfId="7851" xr:uid="{A6FF3238-9A39-4C9C-9A85-BF83A7E2A8D3}"/>
    <cellStyle name="Moneda 28 8 3 2" xfId="15380" xr:uid="{05387E06-8E36-4EB2-8438-5A76FA986E46}"/>
    <cellStyle name="Moneda 28 8 4" xfId="10148" xr:uid="{60AC80A8-427D-4317-B4E6-691A38F591B3}"/>
    <cellStyle name="Moneda 28 9" xfId="3542" xr:uid="{9702A77B-32C4-4ECD-9F2C-2220FE3795CE}"/>
    <cellStyle name="Moneda 28 9 2" xfId="11110" xr:uid="{6FE82775-CB7D-4DF4-8A85-514F988EDC37}"/>
    <cellStyle name="Moneda 280" xfId="1785" xr:uid="{2C9CA752-AD02-478F-A84C-A44D0B56559A}"/>
    <cellStyle name="Moneda 280 2" xfId="4745" xr:uid="{5DB55A65-7CEB-4212-A2D8-1CCD767E09CB}"/>
    <cellStyle name="Moneda 280 2 2" xfId="12313" xr:uid="{BD6C1712-7FBC-44CD-81A8-E1DE33F7D1E3}"/>
    <cellStyle name="Moneda 280 3" xfId="9393" xr:uid="{86CAB0E4-4CEE-41EC-B5E2-E029A26FF67F}"/>
    <cellStyle name="Moneda 281" xfId="1787" xr:uid="{89D147C8-F769-4947-AD7E-B503747E9A07}"/>
    <cellStyle name="Moneda 281 2" xfId="4746" xr:uid="{F95790C5-C1EF-4031-8FB8-393EE9D2FF69}"/>
    <cellStyle name="Moneda 281 2 2" xfId="12314" xr:uid="{0830850F-F3D8-4BAB-935D-6102BE84F8B6}"/>
    <cellStyle name="Moneda 281 3" xfId="9394" xr:uid="{A85A517D-E352-40FF-B497-8BB17ADC61AD}"/>
    <cellStyle name="Moneda 282" xfId="1788" xr:uid="{698A3CF3-BB66-4FDA-9AF8-87C5E30D8E7B}"/>
    <cellStyle name="Moneda 282 2" xfId="4747" xr:uid="{FA2D69F3-3B51-492A-B93E-9BB9E1C241AA}"/>
    <cellStyle name="Moneda 282 2 2" xfId="12315" xr:uid="{03B20139-21B1-45FF-809F-9EA0240569BF}"/>
    <cellStyle name="Moneda 282 3" xfId="9395" xr:uid="{B9A109D7-0C06-4426-9585-7A1CD88F757B}"/>
    <cellStyle name="Moneda 283" xfId="1801" xr:uid="{E5F91400-FE1A-48B4-A248-857E6B579B3D}"/>
    <cellStyle name="Moneda 283 2" xfId="4760" xr:uid="{EC19945C-681F-49F9-A9E6-6B9A18AAA0A2}"/>
    <cellStyle name="Moneda 283 2 2" xfId="12328" xr:uid="{74623012-B41E-46EA-A374-FF877034C974}"/>
    <cellStyle name="Moneda 283 3" xfId="9408" xr:uid="{D9555BAD-2207-466B-9C64-D0C0B79ECCAF}"/>
    <cellStyle name="Moneda 284" xfId="1802" xr:uid="{766BC4A6-4751-485D-9746-5EEB7644CF16}"/>
    <cellStyle name="Moneda 284 2" xfId="4761" xr:uid="{2B3FA058-4DEF-4B42-B9BB-F95EADA0EC67}"/>
    <cellStyle name="Moneda 284 2 2" xfId="12329" xr:uid="{478693E1-5001-41A4-8312-B1D838FACC89}"/>
    <cellStyle name="Moneda 284 3" xfId="9409" xr:uid="{6A8C2FF2-9D2D-4E4E-AA1E-8BB21032B899}"/>
    <cellStyle name="Moneda 285" xfId="2308" xr:uid="{35214A5A-C059-46DB-92FA-284BD153CEE0}"/>
    <cellStyle name="Moneda 285 2" xfId="9911" xr:uid="{82542366-D3AD-4958-A394-6E693293028B}"/>
    <cellStyle name="Moneda 286" xfId="2327" xr:uid="{428926FA-A5DB-4AD8-9B11-A2D01BC6EEA7}"/>
    <cellStyle name="Moneda 286 2" xfId="9925" xr:uid="{CE032EBC-9914-40EF-9274-D3C83CC943EB}"/>
    <cellStyle name="Moneda 287" xfId="3443" xr:uid="{23A2FC22-C0D4-4FDF-AA26-9AD9AD71A8F3}"/>
    <cellStyle name="Moneda 287 2" xfId="11021" xr:uid="{FF819FBC-5563-48E2-81B3-204373D8BE93}"/>
    <cellStyle name="Moneda 288" xfId="3461" xr:uid="{A2A9650E-24B3-4D63-9FC1-7C772DC5472A}"/>
    <cellStyle name="Moneda 288 2" xfId="11032" xr:uid="{A8FED670-0DEC-41C2-8663-0544099A3707}"/>
    <cellStyle name="Moneda 289" xfId="3460" xr:uid="{92B001B7-8D1E-475F-B95D-18188B61C8FC}"/>
    <cellStyle name="Moneda 289 2" xfId="11031" xr:uid="{C4665BC8-B91B-44A2-A1F4-9FBEB73E6EBE}"/>
    <cellStyle name="Moneda 29" xfId="271" xr:uid="{4328BAD9-2E93-4DD8-A76B-CC35833753ED}"/>
    <cellStyle name="Moneda 29 10" xfId="5571" xr:uid="{B9D6DE71-7A5C-4B98-BD5A-3ECD38EEB4A9}"/>
    <cellStyle name="Moneda 29 10 2" xfId="13132" xr:uid="{8CD0C9FC-AEE0-49ED-880B-01C8F0FAEF71}"/>
    <cellStyle name="Moneda 29 11" xfId="6975" xr:uid="{4D3F6648-AD15-4B5F-984B-13C756810E6B}"/>
    <cellStyle name="Moneda 29 11 2" xfId="14504" xr:uid="{437FC6E4-2254-4D86-BD44-C145C7B4349F}"/>
    <cellStyle name="Moneda 29 12" xfId="8192" xr:uid="{FA8840CC-5831-477D-8CB4-0141BF5F22A8}"/>
    <cellStyle name="Moneda 29 2" xfId="1115" xr:uid="{9E0D52D5-74C6-4B2D-AA87-EDB0614F66E3}"/>
    <cellStyle name="Moneda 29 2 2" xfId="2812" xr:uid="{C5BC45CD-459C-419D-88C8-C87103D4D722}"/>
    <cellStyle name="Moneda 29 2 2 2" xfId="10394" xr:uid="{3EDCEDD5-00FD-46FE-9909-F9F70113CCC1}"/>
    <cellStyle name="Moneda 29 2 3" xfId="4075" xr:uid="{305487BD-D2AA-42CE-81BF-E8BBBF0AD7EC}"/>
    <cellStyle name="Moneda 29 2 3 2" xfId="11643" xr:uid="{20193989-94DF-4500-B55E-4F7F87710358}"/>
    <cellStyle name="Moneda 29 2 4" xfId="5816" xr:uid="{7E830D23-90BD-45C5-9741-0D231F4A35A9}"/>
    <cellStyle name="Moneda 29 2 4 2" xfId="13377" xr:uid="{5F1A6A9A-5197-40B9-ACF2-64D611A7043C}"/>
    <cellStyle name="Moneda 29 2 5" xfId="7220" xr:uid="{01AEE115-73F6-4B3B-9F82-927A062421E7}"/>
    <cellStyle name="Moneda 29 2 5 2" xfId="14749" xr:uid="{864B05BF-ECC8-4B1E-8FE4-9944BA8FC01A}"/>
    <cellStyle name="Moneda 29 2 6" xfId="8723" xr:uid="{6E2AC376-92CB-4E38-B80B-3C8E6AE48F01}"/>
    <cellStyle name="Moneda 29 3" xfId="1479" xr:uid="{623D462F-DCBE-43F4-B1D1-AD8C111A3D0E}"/>
    <cellStyle name="Moneda 29 3 2" xfId="2936" xr:uid="{78419075-BC77-4BD9-9595-307499B7E2E2}"/>
    <cellStyle name="Moneda 29 3 2 2" xfId="10518" xr:uid="{8D3AF1E1-2BB6-42F1-B2AF-2F1A013E2541}"/>
    <cellStyle name="Moneda 29 3 3" xfId="4439" xr:uid="{FDC8C112-782C-4698-A4B9-D185662858F6}"/>
    <cellStyle name="Moneda 29 3 3 2" xfId="12007" xr:uid="{F9731BB0-A613-4960-A4F7-1829ADAF46D9}"/>
    <cellStyle name="Moneda 29 3 4" xfId="5940" xr:uid="{955594D4-CDEA-4622-AECA-3E45F6F55E8A}"/>
    <cellStyle name="Moneda 29 3 4 2" xfId="13501" xr:uid="{8481C18F-9936-4B6D-BFED-42512DB270CE}"/>
    <cellStyle name="Moneda 29 3 5" xfId="7344" xr:uid="{E11AC6A4-2BBB-48CF-8B76-E473564E6E45}"/>
    <cellStyle name="Moneda 29 3 5 2" xfId="14873" xr:uid="{DB6CE99A-8937-4662-A5B6-41DE5B8A94BA}"/>
    <cellStyle name="Moneda 29 3 6" xfId="9087" xr:uid="{02C47A99-704C-46FD-B466-38D73D51D794}"/>
    <cellStyle name="Moneda 29 4" xfId="1858" xr:uid="{102C1E6A-EC8E-4E42-8CCA-8945C5764549}"/>
    <cellStyle name="Moneda 29 4 2" xfId="3060" xr:uid="{7A896236-228A-449C-B619-72B148FF5C4C}"/>
    <cellStyle name="Moneda 29 4 2 2" xfId="10642" xr:uid="{BDBC2577-E199-4FB3-9E26-0AA3234BA9BE}"/>
    <cellStyle name="Moneda 29 4 3" xfId="4817" xr:uid="{D9E228E8-73AB-42D2-B718-0EE808EF59F6}"/>
    <cellStyle name="Moneda 29 4 3 2" xfId="12385" xr:uid="{03DC48AD-1B76-415B-A6AC-85EB33AA378F}"/>
    <cellStyle name="Moneda 29 4 4" xfId="6064" xr:uid="{94C10630-D69B-41E1-A923-9598F2891686}"/>
    <cellStyle name="Moneda 29 4 4 2" xfId="13625" xr:uid="{7CA9AD40-E168-4C42-9743-B50E07323256}"/>
    <cellStyle name="Moneda 29 4 5" xfId="7468" xr:uid="{C28D0B53-F4B7-4F53-862B-E3FA0B37B57C}"/>
    <cellStyle name="Moneda 29 4 5 2" xfId="14997" xr:uid="{89671655-1769-4B55-AFBE-20B6A66320FE}"/>
    <cellStyle name="Moneda 29 4 6" xfId="9465" xr:uid="{E3E32C35-841F-4AC0-BD3E-96F4F9B09031}"/>
    <cellStyle name="Moneda 29 5" xfId="3184" xr:uid="{BEDCCA0D-F24E-4078-BF68-EB18F09377B1}"/>
    <cellStyle name="Moneda 29 5 2" xfId="6188" xr:uid="{2C9EF305-B6B2-4589-86C7-8E42AA6CB482}"/>
    <cellStyle name="Moneda 29 5 2 2" xfId="13749" xr:uid="{B6D63A29-810A-424B-A246-4BB4664105AD}"/>
    <cellStyle name="Moneda 29 5 3" xfId="7592" xr:uid="{9134C80C-8421-4D02-AFF7-01B2C7735618}"/>
    <cellStyle name="Moneda 29 5 3 2" xfId="15121" xr:uid="{77BE5DED-488E-40C1-B12F-48DFD57551A0}"/>
    <cellStyle name="Moneda 29 5 4" xfId="10766" xr:uid="{2F05425C-CC87-4BBC-BA22-43DA9EB73070}"/>
    <cellStyle name="Moneda 29 6" xfId="3309" xr:uid="{531DC487-ACE9-48A3-98A8-928C54B37BF5}"/>
    <cellStyle name="Moneda 29 6 2" xfId="6313" xr:uid="{B02DE6EF-53C0-4253-A683-6B7AE7DED26A}"/>
    <cellStyle name="Moneda 29 6 2 2" xfId="13874" xr:uid="{72D67207-1164-4689-9FF1-DBD83D62DF11}"/>
    <cellStyle name="Moneda 29 6 3" xfId="7717" xr:uid="{26EBED3E-3CFD-45CC-A5A1-324E3F0CE757}"/>
    <cellStyle name="Moneda 29 6 3 2" xfId="15246" xr:uid="{958AC0B1-7F2B-4B38-9282-B34ED8886602}"/>
    <cellStyle name="Moneda 29 6 4" xfId="10891" xr:uid="{496046F6-CAA1-415B-96F1-F5282C6470BD}"/>
    <cellStyle name="Moneda 29 7" xfId="3437" xr:uid="{A3EDF4D9-9A7D-4FB1-8342-126C7D7D3657}"/>
    <cellStyle name="Moneda 29 7 2" xfId="6439" xr:uid="{7A7A4C50-8A48-4DE1-B5C4-5AA41668B1AA}"/>
    <cellStyle name="Moneda 29 7 2 2" xfId="14000" xr:uid="{9C735072-7817-445B-B083-4148E6C8EFF0}"/>
    <cellStyle name="Moneda 29 7 3" xfId="7843" xr:uid="{5396B1AC-31A5-41F1-A28E-B01C92441B44}"/>
    <cellStyle name="Moneda 29 7 3 2" xfId="15372" xr:uid="{4506008B-AD68-4292-8EF7-9AAF8C122ACC}"/>
    <cellStyle name="Moneda 29 7 4" xfId="11017" xr:uid="{8D775C39-9E3E-4538-96A3-21B3B0DB4AE9}"/>
    <cellStyle name="Moneda 29 8" xfId="2566" xr:uid="{6377D843-17DF-4171-AE4A-FD134B9EAB8C}"/>
    <cellStyle name="Moneda 29 8 2" xfId="6574" xr:uid="{4A204051-F73E-44AD-A8B2-C23D405F3D00}"/>
    <cellStyle name="Moneda 29 8 2 2" xfId="14130" xr:uid="{AF6D21E7-8CF7-4C95-8D78-134646281322}"/>
    <cellStyle name="Moneda 29 8 3" xfId="7973" xr:uid="{8BA877D5-C43C-4C63-94BB-C5EEBCCCC5CF}"/>
    <cellStyle name="Moneda 29 8 3 2" xfId="15502" xr:uid="{36F41C0B-DE35-47AE-A92A-FD93A3655389}"/>
    <cellStyle name="Moneda 29 8 4" xfId="10149" xr:uid="{32A51F8C-E7A1-41CE-9802-9F75F9F93E13}"/>
    <cellStyle name="Moneda 29 9" xfId="3544" xr:uid="{29C1FF7A-3E77-46B7-BDC4-C7318F68D1D2}"/>
    <cellStyle name="Moneda 29 9 2" xfId="11112" xr:uid="{BEBFC2E3-5917-4BEC-AF06-7DE5F887495D}"/>
    <cellStyle name="Moneda 290" xfId="3452" xr:uid="{694EC9D0-4DB2-4C16-A1B3-DBCFBB6BC418}"/>
    <cellStyle name="Moneda 290 2" xfId="11026" xr:uid="{818F3171-F586-4EA1-BB30-4EC3BFB259D1}"/>
    <cellStyle name="Moneda 291" xfId="3454" xr:uid="{86111AC9-F992-41DF-9B9C-7ACCA52ED4B0}"/>
    <cellStyle name="Moneda 291 2" xfId="11027" xr:uid="{E25C7645-BE10-488D-8C72-79E30A80A521}"/>
    <cellStyle name="Moneda 292" xfId="3458" xr:uid="{49387AB1-98D7-483C-BB21-4B7E0C1BE5FD}"/>
    <cellStyle name="Moneda 292 2" xfId="11029" xr:uid="{0713F311-2D1D-4239-A1B2-08C9AF283787}"/>
    <cellStyle name="Moneda 293" xfId="3459" xr:uid="{4AB12C21-953A-4A8B-A378-D8E514C4626B}"/>
    <cellStyle name="Moneda 293 2" xfId="11030" xr:uid="{28ED8C90-1A12-4FBC-A928-8DA0B93AF5A9}"/>
    <cellStyle name="Moneda 294" xfId="3449" xr:uid="{1D531B9C-31EC-4B1C-8844-11B295157CC4}"/>
    <cellStyle name="Moneda 294 2" xfId="11023" xr:uid="{62CF7C06-915F-47F0-84A0-B6F9DF61A59A}"/>
    <cellStyle name="Moneda 295" xfId="3450" xr:uid="{5462E365-EB48-49C7-9F76-05EBAEA68B0E}"/>
    <cellStyle name="Moneda 295 2" xfId="11024" xr:uid="{7F2E4FF8-DE27-4A4D-8932-3C8E259E8CBC}"/>
    <cellStyle name="Moneda 296" xfId="3465" xr:uid="{CC3512FF-8E43-468F-B44C-0B1B7FF9F643}"/>
    <cellStyle name="Moneda 296 2" xfId="11034" xr:uid="{E5ED8FA2-A970-4029-B0EB-16C106631F56}"/>
    <cellStyle name="Moneda 297" xfId="3451" xr:uid="{F8F3E1EE-AA2A-4AD9-87D9-583926514F00}"/>
    <cellStyle name="Moneda 297 2" xfId="11025" xr:uid="{373A5E19-5ACD-4F48-A1C9-D2C542757535}"/>
    <cellStyle name="Moneda 298" xfId="3463" xr:uid="{4295307A-6DAB-425B-A12C-163D3812457D}"/>
    <cellStyle name="Moneda 298 2" xfId="11033" xr:uid="{F273C687-D575-48F3-B210-5D06500D2CCC}"/>
    <cellStyle name="Moneda 299" xfId="3456" xr:uid="{230285DE-F852-47E4-82E3-6F0885C66A7B}"/>
    <cellStyle name="Moneda 299 2" xfId="11028" xr:uid="{517E22C2-0375-4EDE-B0D8-B3A9A5935821}"/>
    <cellStyle name="Moneda 3" xfId="15" xr:uid="{00000000-0005-0000-0000-00005C000000}"/>
    <cellStyle name="Moneda 3 10" xfId="3192" xr:uid="{B40F4042-5CB3-4014-A51B-F0B2DB5A73D5}"/>
    <cellStyle name="Moneda 3 10 2" xfId="6196" xr:uid="{99C2C59C-AF5B-4F3F-AA53-8EE11DCE74D6}"/>
    <cellStyle name="Moneda 3 10 2 2" xfId="13757" xr:uid="{D924CA55-C407-4232-9BBD-2863CE961FC7}"/>
    <cellStyle name="Moneda 3 10 3" xfId="7600" xr:uid="{77C71C57-D46F-4EFD-983D-148730ECF3D7}"/>
    <cellStyle name="Moneda 3 10 3 2" xfId="15129" xr:uid="{368BBF18-7BE2-4E18-8A79-7051310F4A9A}"/>
    <cellStyle name="Moneda 3 10 4" xfId="10774" xr:uid="{1CC2A981-B01F-416F-BFB3-9A9899B14E2E}"/>
    <cellStyle name="Moneda 3 11" xfId="3320" xr:uid="{66178A76-6264-4B30-BA9E-B75A82F6AFEB}"/>
    <cellStyle name="Moneda 3 11 2" xfId="6322" xr:uid="{4EADD8F2-B5A6-48F5-915C-512B5E62A490}"/>
    <cellStyle name="Moneda 3 11 2 2" xfId="13883" xr:uid="{A3C6E1CB-69C3-446F-9533-4708447D7C49}"/>
    <cellStyle name="Moneda 3 11 3" xfId="7726" xr:uid="{510EA7D0-E6D5-437A-AC3A-2C969D54E5C9}"/>
    <cellStyle name="Moneda 3 11 3 2" xfId="15255" xr:uid="{30037251-0B67-4BD2-8B9A-EDB559F23C91}"/>
    <cellStyle name="Moneda 3 11 4" xfId="10900" xr:uid="{D377B331-485F-44D5-B7D4-43D12F209975}"/>
    <cellStyle name="Moneda 3 12" xfId="2313" xr:uid="{845766D1-C028-414D-9549-156E09AEFBD0}"/>
    <cellStyle name="Moneda 3 12 2" xfId="6456" xr:uid="{C9AA2757-11AA-4AD2-9A34-57A8261662A8}"/>
    <cellStyle name="Moneda 3 12 2 2" xfId="14014" xr:uid="{F9E0078A-F8FB-46AB-AB43-DDF2A1609002}"/>
    <cellStyle name="Moneda 3 12 3" xfId="7857" xr:uid="{DC67E60E-E383-45DC-A0ED-8427AAB80402}"/>
    <cellStyle name="Moneda 3 12 3 2" xfId="15386" xr:uid="{4C881183-25DB-4745-B1B2-CE903CFA31F6}"/>
    <cellStyle name="Moneda 3 12 4" xfId="9914" xr:uid="{FFD547EF-10D4-48F0-B03E-270ACCEB7DE9}"/>
    <cellStyle name="Moneda 3 13" xfId="3478" xr:uid="{7821722B-E314-40C6-A990-2A288FAB1E38}"/>
    <cellStyle name="Moneda 3 13 2" xfId="11046" xr:uid="{013F32A3-6B09-4B2A-AA46-CAC897F3EBB6}"/>
    <cellStyle name="Moneda 3 14" xfId="5335" xr:uid="{2A6E9C8F-D396-48A4-BCD5-375F53A2FB81}"/>
    <cellStyle name="Moneda 3 14 2" xfId="12896" xr:uid="{8C3EE428-9FEC-4FF0-AD95-BFA3BC46E1C7}"/>
    <cellStyle name="Moneda 3 15" xfId="6738" xr:uid="{D03F1BBC-510F-423F-B899-B25E790105DC}"/>
    <cellStyle name="Moneda 3 15 2" xfId="14267" xr:uid="{5E2FD132-3053-4C63-AF13-11359AFDFB12}"/>
    <cellStyle name="Moneda 3 16" xfId="169" xr:uid="{B639DB3A-72EE-4FD5-86F1-E9B3521FBD81}"/>
    <cellStyle name="Moneda 3 17" xfId="8126" xr:uid="{58A0B2C1-2E7D-4A8F-92DD-942FB8CCC1EE}"/>
    <cellStyle name="Moneda 3 18" xfId="155" xr:uid="{8EDD3936-D17E-446A-ACD1-833316DF11C8}"/>
    <cellStyle name="Moneda 3 2" xfId="30" xr:uid="{00000000-0005-0000-0000-00005D000000}"/>
    <cellStyle name="Moneda 3 2 10" xfId="3349" xr:uid="{DDD128D2-16F1-45F9-AABA-860AAFD4FE76}"/>
    <cellStyle name="Moneda 3 2 10 2" xfId="6351" xr:uid="{660774F6-BAFB-4025-B6D6-E089D47D1444}"/>
    <cellStyle name="Moneda 3 2 10 2 2" xfId="13912" xr:uid="{07C4B703-0878-4A52-86E5-457051411DDC}"/>
    <cellStyle name="Moneda 3 2 10 3" xfId="7755" xr:uid="{45AEC713-3B31-400F-A5D0-F1E4308837C3}"/>
    <cellStyle name="Moneda 3 2 10 3 2" xfId="15284" xr:uid="{12FA79FE-9F8E-43CE-9520-29B6D3BAC54D}"/>
    <cellStyle name="Moneda 3 2 10 4" xfId="10929" xr:uid="{90699696-1764-4F15-98A8-825EBAF5FF67}"/>
    <cellStyle name="Moneda 3 2 11" xfId="2350" xr:uid="{F46006A8-66C5-4674-A3B0-6E6A8DC95A81}"/>
    <cellStyle name="Moneda 3 2 11 2" xfId="6487" xr:uid="{28915ECD-A20E-491F-8541-49E5FCD41DF3}"/>
    <cellStyle name="Moneda 3 2 11 2 2" xfId="14043" xr:uid="{738F1343-608D-4439-B052-FE5C3446AB80}"/>
    <cellStyle name="Moneda 3 2 11 3" xfId="7886" xr:uid="{785DD3A2-5778-41F2-B3CB-18EF77F8D4A1}"/>
    <cellStyle name="Moneda 3 2 11 3 2" xfId="15415" xr:uid="{79458738-B6B7-4B54-BE63-968FECFD5FB4}"/>
    <cellStyle name="Moneda 3 2 11 4" xfId="9944" xr:uid="{EFEFFA16-87E1-40B1-AF3F-D5315153C713}"/>
    <cellStyle name="Moneda 3 2 12" xfId="3498" xr:uid="{646CFC58-D3A9-41F3-BB36-3AE6ABB3CA85}"/>
    <cellStyle name="Moneda 3 2 12 2" xfId="11066" xr:uid="{93C3A5B4-FE7C-4166-804D-728A5E4011D0}"/>
    <cellStyle name="Moneda 3 2 13" xfId="5366" xr:uid="{C608F342-EC76-48B3-8A65-26C65776243B}"/>
    <cellStyle name="Moneda 3 2 13 2" xfId="12927" xr:uid="{83D77B11-E4E9-447D-A5E2-6F7990165BB9}"/>
    <cellStyle name="Moneda 3 2 14" xfId="6770" xr:uid="{6E6A006D-597D-4D2D-B2A1-C434BF6AD7E6}"/>
    <cellStyle name="Moneda 3 2 14 2" xfId="14299" xr:uid="{4AA679E6-661B-4473-ABC3-ACFBF9993CA8}"/>
    <cellStyle name="Moneda 3 2 15" xfId="8146" xr:uid="{46BAB235-FFB5-41DA-9B9E-0CF4DA929277}"/>
    <cellStyle name="Moneda 3 2 16" xfId="199" xr:uid="{19F1118C-E26E-4BE4-8F14-3B44A7887F85}"/>
    <cellStyle name="Moneda 3 2 2" xfId="2414" xr:uid="{0D57DEC2-8CAA-4372-A885-DCEE5B1DF3AA}"/>
    <cellStyle name="Moneda 3 2 2 10" xfId="6545" xr:uid="{D73758DC-33A7-4EE5-AA80-F4BBE70A27F4}"/>
    <cellStyle name="Moneda 3 2 2 10 2" xfId="7944" xr:uid="{959F1E6D-4C66-4B07-81ED-2BE05610122C}"/>
    <cellStyle name="Moneda 3 2 2 10 2 2" xfId="15473" xr:uid="{CD5E47EA-9C8E-4AAF-9032-D75CB289008D}"/>
    <cellStyle name="Moneda 3 2 2 10 3" xfId="14101" xr:uid="{7C9372BA-C167-4D8F-8326-3756DA916E84}"/>
    <cellStyle name="Moneda 3 2 2 11" xfId="5424" xr:uid="{20779848-A463-4E71-9ABD-3B7709679DE4}"/>
    <cellStyle name="Moneda 3 2 2 11 2" xfId="12985" xr:uid="{5B7F249A-6C29-4B87-BAE1-4DC54792D07F}"/>
    <cellStyle name="Moneda 3 2 2 12" xfId="6828" xr:uid="{3DC11525-A79F-47C7-B033-79EEF78F460D}"/>
    <cellStyle name="Moneda 3 2 2 12 2" xfId="14357" xr:uid="{B2813FAC-0BE4-46DF-8685-B9C5F7EF4ED7}"/>
    <cellStyle name="Moneda 3 2 2 13" xfId="10002" xr:uid="{A61944F3-0940-47F3-ACBB-4D5A4A4A4549}"/>
    <cellStyle name="Moneda 3 2 2 2" xfId="2538" xr:uid="{FBFB448B-C50E-42B9-A346-C0CA7346785E}"/>
    <cellStyle name="Moneda 3 2 2 2 2" xfId="6680" xr:uid="{7CAB4246-86DA-45E8-ADEC-788747813009}"/>
    <cellStyle name="Moneda 3 2 2 2 2 2" xfId="8066" xr:uid="{80DEAE99-BAF9-41BC-A724-EBA5FFE7ABA8}"/>
    <cellStyle name="Moneda 3 2 2 2 2 2 2" xfId="15595" xr:uid="{54B53846-3074-433F-B432-15CF55D46598}"/>
    <cellStyle name="Moneda 3 2 2 2 2 3" xfId="14223" xr:uid="{3E1D5E52-3EED-454F-A333-C4EF1BD520DE}"/>
    <cellStyle name="Moneda 3 2 2 2 3" xfId="5544" xr:uid="{DD64CAEC-A9F9-4CF8-8A15-013F83E54563}"/>
    <cellStyle name="Moneda 3 2 2 2 3 2" xfId="13105" xr:uid="{FE3988E2-84AB-4AA5-9914-2EE037F588EC}"/>
    <cellStyle name="Moneda 3 2 2 2 4" xfId="6948" xr:uid="{31C9BAF0-2BF0-49CC-87D0-F62327419987}"/>
    <cellStyle name="Moneda 3 2 2 2 4 2" xfId="14477" xr:uid="{3589B82F-A17C-42E2-9E00-17967D493C41}"/>
    <cellStyle name="Moneda 3 2 2 2 5" xfId="10122" xr:uid="{88EDAEDD-3A98-413F-98ED-607794B07AAF}"/>
    <cellStyle name="Moneda 3 2 2 3" xfId="2659" xr:uid="{2930062B-D485-40D0-AB4B-C5F133F6DB46}"/>
    <cellStyle name="Moneda 3 2 2 3 2" xfId="5664" xr:uid="{F18FD42E-E1EC-4CD1-A467-C495BE0E1264}"/>
    <cellStyle name="Moneda 3 2 2 3 2 2" xfId="13225" xr:uid="{2A0ED542-16AD-459F-B875-DF120350DB8B}"/>
    <cellStyle name="Moneda 3 2 2 3 3" xfId="7068" xr:uid="{0BFC3848-380C-4D6E-A2AA-38C731F3357F}"/>
    <cellStyle name="Moneda 3 2 2 3 3 2" xfId="14597" xr:uid="{0C2A97E0-2939-45D9-8602-304D1B5A4DD9}"/>
    <cellStyle name="Moneda 3 2 2 3 4" xfId="10242" xr:uid="{EC24A73A-0C09-42E9-B699-DE8347C1E5CF}"/>
    <cellStyle name="Moneda 3 2 2 4" xfId="2781" xr:uid="{0E0A92EA-449F-4093-AAE9-22EEF4EC8BBA}"/>
    <cellStyle name="Moneda 3 2 2 4 2" xfId="5786" xr:uid="{58B67281-D047-4E55-9782-7832311955BC}"/>
    <cellStyle name="Moneda 3 2 2 4 2 2" xfId="13347" xr:uid="{71A48FF0-361C-4209-B0B5-5CF37548146F}"/>
    <cellStyle name="Moneda 3 2 2 4 3" xfId="7190" xr:uid="{58F13C13-F11F-4776-A940-36017FB82607}"/>
    <cellStyle name="Moneda 3 2 2 4 3 2" xfId="14719" xr:uid="{BF218516-C49A-466E-8C05-4C9D5A726352}"/>
    <cellStyle name="Moneda 3 2 2 4 4" xfId="10364" xr:uid="{48E6D1C2-47F3-44B2-A230-83537489B2E9}"/>
    <cellStyle name="Moneda 3 2 2 5" xfId="2906" xr:uid="{90B926EF-EF4E-4BD4-A689-256C63156657}"/>
    <cellStyle name="Moneda 3 2 2 5 2" xfId="5910" xr:uid="{D73AA97B-B058-4927-A245-A9DC463B659B}"/>
    <cellStyle name="Moneda 3 2 2 5 2 2" xfId="13471" xr:uid="{EFCFFF3D-B516-4716-BB75-677901D8DDD4}"/>
    <cellStyle name="Moneda 3 2 2 5 3" xfId="7314" xr:uid="{2AFF24D0-4364-4EED-AD63-B26D5828093C}"/>
    <cellStyle name="Moneda 3 2 2 5 3 2" xfId="14843" xr:uid="{9193D732-B9A8-4898-BF6A-B6871E07AAAE}"/>
    <cellStyle name="Moneda 3 2 2 5 4" xfId="10488" xr:uid="{4747157D-F700-455A-B82D-46BD4EEF3F9F}"/>
    <cellStyle name="Moneda 3 2 2 6" xfId="3030" xr:uid="{5BC4C331-948A-42D1-B016-B278FC3C06CA}"/>
    <cellStyle name="Moneda 3 2 2 6 2" xfId="6034" xr:uid="{F2050124-64DF-49FB-84D3-FE1E1B00E012}"/>
    <cellStyle name="Moneda 3 2 2 6 2 2" xfId="13595" xr:uid="{5A43A65B-1B91-4CF6-8AE5-A0D6D24513E1}"/>
    <cellStyle name="Moneda 3 2 2 6 3" xfId="7438" xr:uid="{9F9D834A-322E-4288-8229-200EACC7F022}"/>
    <cellStyle name="Moneda 3 2 2 6 3 2" xfId="14967" xr:uid="{05945602-B861-46C5-9181-5A2C85D178D1}"/>
    <cellStyle name="Moneda 3 2 2 6 4" xfId="10612" xr:uid="{3B47C2BC-5F1C-4365-A109-C0791FF80141}"/>
    <cellStyle name="Moneda 3 2 2 7" xfId="3154" xr:uid="{058AEC6A-D7DF-42DF-B615-A72CBBCC60FC}"/>
    <cellStyle name="Moneda 3 2 2 7 2" xfId="6158" xr:uid="{F668B6F5-5989-4230-9F4D-BD0BA85F2173}"/>
    <cellStyle name="Moneda 3 2 2 7 2 2" xfId="13719" xr:uid="{946F9EC7-6BE0-4778-80B3-42F2F5FEEA06}"/>
    <cellStyle name="Moneda 3 2 2 7 3" xfId="7562" xr:uid="{01F26E22-9861-4940-BAF4-6DB369534653}"/>
    <cellStyle name="Moneda 3 2 2 7 3 2" xfId="15091" xr:uid="{8B05512C-691C-41F9-BC8D-34D8B9352B69}"/>
    <cellStyle name="Moneda 3 2 2 7 4" xfId="10736" xr:uid="{4BA1A393-F7EB-47BD-B5A9-790F7DACE209}"/>
    <cellStyle name="Moneda 3 2 2 8" xfId="3279" xr:uid="{0FD7DBC5-0542-46B9-B676-82001C693364}"/>
    <cellStyle name="Moneda 3 2 2 8 2" xfId="6283" xr:uid="{91E950D6-D20C-41D0-BA33-2A06D8A13073}"/>
    <cellStyle name="Moneda 3 2 2 8 2 2" xfId="13844" xr:uid="{9BEC4939-2DEA-4EFF-B388-52CE52443D7C}"/>
    <cellStyle name="Moneda 3 2 2 8 3" xfId="7687" xr:uid="{30CEDB24-E0FE-45A1-815B-AD3EA31983CB}"/>
    <cellStyle name="Moneda 3 2 2 8 3 2" xfId="15216" xr:uid="{2D2523F8-08CD-4B3C-B92E-7D8CAFC21565}"/>
    <cellStyle name="Moneda 3 2 2 8 4" xfId="10861" xr:uid="{E20E7F8B-F1ED-4585-87B8-9AAFA161A560}"/>
    <cellStyle name="Moneda 3 2 2 9" xfId="3407" xr:uid="{AD016850-8B35-46D7-A057-7E5862509288}"/>
    <cellStyle name="Moneda 3 2 2 9 2" xfId="6409" xr:uid="{342B132D-F6A7-426A-8AF4-EC50F2A165C9}"/>
    <cellStyle name="Moneda 3 2 2 9 2 2" xfId="13970" xr:uid="{D2C3A2EE-7565-4135-A5DE-CC93DA735E1A}"/>
    <cellStyle name="Moneda 3 2 2 9 3" xfId="7813" xr:uid="{240EE52C-2AAB-4662-B0B8-96C0462E9B0C}"/>
    <cellStyle name="Moneda 3 2 2 9 3 2" xfId="15342" xr:uid="{84DF7013-3B70-4DE5-8FF6-626EC7EE5390}"/>
    <cellStyle name="Moneda 3 2 2 9 4" xfId="10987" xr:uid="{E8C8C973-2BD0-4837-92C0-0EA14C57FCD5}"/>
    <cellStyle name="Moneda 3 2 3" xfId="2480" xr:uid="{9CBD2064-118F-4C2D-906E-00F20CAA6D43}"/>
    <cellStyle name="Moneda 3 2 3 2" xfId="6622" xr:uid="{5AB7A89E-337A-4B69-9AED-089B5705BE66}"/>
    <cellStyle name="Moneda 3 2 3 2 2" xfId="8008" xr:uid="{2D20F54E-76DB-4B07-B7F5-C1350B4536EA}"/>
    <cellStyle name="Moneda 3 2 3 2 2 2" xfId="15537" xr:uid="{2340841B-A6E1-44B9-AEBE-EC41A40AC4F9}"/>
    <cellStyle name="Moneda 3 2 3 2 3" xfId="14165" xr:uid="{04E38F31-B8A1-4846-99A6-70CA94975052}"/>
    <cellStyle name="Moneda 3 2 3 3" xfId="5486" xr:uid="{25146CC5-B49C-432D-9D7A-E69660CA2D19}"/>
    <cellStyle name="Moneda 3 2 3 3 2" xfId="13047" xr:uid="{88BB1631-FC07-448F-A125-D07A1D167673}"/>
    <cellStyle name="Moneda 3 2 3 4" xfId="6890" xr:uid="{6F646062-2A5F-4544-A91B-9FE6081BA0A0}"/>
    <cellStyle name="Moneda 3 2 3 4 2" xfId="14419" xr:uid="{ABA01F7D-5AA7-429D-8D82-9041E4E63093}"/>
    <cellStyle name="Moneda 3 2 3 5" xfId="10064" xr:uid="{8EBF1109-8FFF-4B0F-8CAA-44282BF9C949}"/>
    <cellStyle name="Moneda 3 2 4" xfId="2601" xr:uid="{8D1D2D4D-9012-4DC6-BF92-CA1FDA3BBF8E}"/>
    <cellStyle name="Moneda 3 2 4 2" xfId="5606" xr:uid="{EFFE7B67-09F6-42A5-9FE4-4D841B9C960B}"/>
    <cellStyle name="Moneda 3 2 4 2 2" xfId="13167" xr:uid="{CF81A44F-D6C6-4D65-98A5-DF5DA89FFC82}"/>
    <cellStyle name="Moneda 3 2 4 3" xfId="7010" xr:uid="{71FD17DD-06A9-40A6-A594-3BECDEBE645A}"/>
    <cellStyle name="Moneda 3 2 4 3 2" xfId="14539" xr:uid="{710C7002-6411-483C-9D00-1ABB026557B2}"/>
    <cellStyle name="Moneda 3 2 4 4" xfId="10184" xr:uid="{14C25B2F-CFCD-4BB3-A79D-175C95A4F1BF}"/>
    <cellStyle name="Moneda 3 2 5" xfId="2723" xr:uid="{AA73E1A5-BB33-48C8-8A66-84BA6183B0EC}"/>
    <cellStyle name="Moneda 3 2 5 2" xfId="5728" xr:uid="{4EEAE536-FBB4-494A-9631-C857DAC95D85}"/>
    <cellStyle name="Moneda 3 2 5 2 2" xfId="13289" xr:uid="{FC0BC813-13C1-4154-914A-99A192822599}"/>
    <cellStyle name="Moneda 3 2 5 3" xfId="7132" xr:uid="{20D99F87-2E20-404B-B04D-3F5CFDFCD99C}"/>
    <cellStyle name="Moneda 3 2 5 3 2" xfId="14661" xr:uid="{99643B64-A91B-4C5B-BD5E-569D06B52B47}"/>
    <cellStyle name="Moneda 3 2 5 4" xfId="10306" xr:uid="{47A8C371-AEBE-4A92-9E25-6ABD98BC8738}"/>
    <cellStyle name="Moneda 3 2 6" xfId="2848" xr:uid="{F2AE8454-08D6-42DB-92CB-D822E0025110}"/>
    <cellStyle name="Moneda 3 2 6 2" xfId="5852" xr:uid="{B8A2C051-EAC0-4283-8290-4E93E2DE9B32}"/>
    <cellStyle name="Moneda 3 2 6 2 2" xfId="13413" xr:uid="{E63D3419-59BB-4C55-9375-6732D6475A94}"/>
    <cellStyle name="Moneda 3 2 6 3" xfId="7256" xr:uid="{7BE7CAB5-5472-4663-A90C-91717937DC7D}"/>
    <cellStyle name="Moneda 3 2 6 3 2" xfId="14785" xr:uid="{6C6EA5E3-BB01-4BD3-AA60-2584AE77AA40}"/>
    <cellStyle name="Moneda 3 2 6 4" xfId="10430" xr:uid="{D38EBA57-4FC6-475D-B1F8-13A83EAE356F}"/>
    <cellStyle name="Moneda 3 2 7" xfId="2972" xr:uid="{39A9E0F4-A1D1-47E2-8CAF-CF472D505337}"/>
    <cellStyle name="Moneda 3 2 7 2" xfId="5976" xr:uid="{CA639048-B111-4B0C-8B89-9634455C36F0}"/>
    <cellStyle name="Moneda 3 2 7 2 2" xfId="13537" xr:uid="{D97A15DC-CF98-42B7-9D2D-BEB62680A308}"/>
    <cellStyle name="Moneda 3 2 7 3" xfId="7380" xr:uid="{D0C3E782-8D8B-4D5D-AFA5-F7F769DB407A}"/>
    <cellStyle name="Moneda 3 2 7 3 2" xfId="14909" xr:uid="{D6452E69-EDD8-4598-A091-B6B7C6E64F6A}"/>
    <cellStyle name="Moneda 3 2 7 4" xfId="10554" xr:uid="{14DD2B67-3D64-4DC0-8B9D-2730EDBF4DD2}"/>
    <cellStyle name="Moneda 3 2 8" xfId="3096" xr:uid="{757BBBA4-5080-45E0-B456-8FD4A96530D3}"/>
    <cellStyle name="Moneda 3 2 8 2" xfId="6100" xr:uid="{27B3CF84-1006-41F2-9EB9-3BE3D4BEA822}"/>
    <cellStyle name="Moneda 3 2 8 2 2" xfId="13661" xr:uid="{30B74FE8-F6C1-4062-AC28-074FDC877C47}"/>
    <cellStyle name="Moneda 3 2 8 3" xfId="7504" xr:uid="{5162A492-D6D4-4451-A569-774A9B1791F2}"/>
    <cellStyle name="Moneda 3 2 8 3 2" xfId="15033" xr:uid="{B469B052-A79B-4A36-B4F2-2D133837C945}"/>
    <cellStyle name="Moneda 3 2 8 4" xfId="10678" xr:uid="{A10DBC40-06A3-4966-95EA-A19B118A3ABE}"/>
    <cellStyle name="Moneda 3 2 9" xfId="3221" xr:uid="{23F5B818-85DE-4C04-8107-1CF199BD889F}"/>
    <cellStyle name="Moneda 3 2 9 2" xfId="6225" xr:uid="{C1EBDD6B-5F2F-4777-9A10-F85F12161178}"/>
    <cellStyle name="Moneda 3 2 9 2 2" xfId="13786" xr:uid="{F05D218E-6EA6-4D83-822B-AE098AF39B67}"/>
    <cellStyle name="Moneda 3 2 9 3" xfId="7629" xr:uid="{13979FEB-6173-4D26-B0E1-41635B1C6FFB}"/>
    <cellStyle name="Moneda 3 2 9 3 2" xfId="15158" xr:uid="{86088332-D4C7-4454-9A42-9109FF66DE5C}"/>
    <cellStyle name="Moneda 3 2 9 4" xfId="10803" xr:uid="{26CC42CD-2276-4CBA-A74B-AF7C8404E55D}"/>
    <cellStyle name="Moneda 3 3" xfId="1063" xr:uid="{52E1CFCD-7D59-40A3-950F-DE25D28A7A80}"/>
    <cellStyle name="Moneda 3 3 10" xfId="2385" xr:uid="{65F01318-6867-4EE8-A877-49D8C138AB66}"/>
    <cellStyle name="Moneda 3 3 10 2" xfId="6516" xr:uid="{C302D033-D62B-4D0D-8570-9B22C8033696}"/>
    <cellStyle name="Moneda 3 3 10 2 2" xfId="14072" xr:uid="{F9DF8253-2441-4474-B9CE-ABB43EA4E557}"/>
    <cellStyle name="Moneda 3 3 10 3" xfId="7915" xr:uid="{4AAF5A23-BC6C-4795-89E8-36627345E11C}"/>
    <cellStyle name="Moneda 3 3 10 3 2" xfId="15444" xr:uid="{724DEC0E-47C8-4166-854B-835F7372C4F4}"/>
    <cellStyle name="Moneda 3 3 10 4" xfId="9973" xr:uid="{BBD87CDC-D9C9-4371-AC49-3CBC9C4D7550}"/>
    <cellStyle name="Moneda 3 3 11" xfId="4023" xr:uid="{87EC2C0A-6787-4444-9FC0-9B218073EF59}"/>
    <cellStyle name="Moneda 3 3 11 2" xfId="11591" xr:uid="{C60B3FD4-7BCE-4E15-ABB1-5A91CE204C59}"/>
    <cellStyle name="Moneda 3 3 12" xfId="5395" xr:uid="{66C5F2E5-7DE1-4E69-9A3F-6B824F52DB0C}"/>
    <cellStyle name="Moneda 3 3 12 2" xfId="12956" xr:uid="{05E7A842-CC39-4159-920F-FB614895CE37}"/>
    <cellStyle name="Moneda 3 3 13" xfId="6799" xr:uid="{4485CA11-B515-4CC5-BE3D-95763C0094D0}"/>
    <cellStyle name="Moneda 3 3 13 2" xfId="14328" xr:uid="{C3483E24-2372-4138-A803-524AEDE936EE}"/>
    <cellStyle name="Moneda 3 3 14" xfId="8671" xr:uid="{E3514DE3-1BBD-4D96-90AD-584FCA6A1F0E}"/>
    <cellStyle name="Moneda 3 3 2" xfId="2509" xr:uid="{23B7A071-247B-40A6-AAB3-CB96D8943359}"/>
    <cellStyle name="Moneda 3 3 2 2" xfId="6651" xr:uid="{5D769CBF-4D59-455B-A800-5E0137FEB003}"/>
    <cellStyle name="Moneda 3 3 2 2 2" xfId="8037" xr:uid="{724E231C-A7FF-412C-B8CC-7B08E4F21BCC}"/>
    <cellStyle name="Moneda 3 3 2 2 2 2" xfId="15566" xr:uid="{79AFE5B3-F9B0-496B-8C6A-D4BCD804FD20}"/>
    <cellStyle name="Moneda 3 3 2 2 3" xfId="14194" xr:uid="{1FCD3593-F3CD-48DB-8119-5A8D14814E87}"/>
    <cellStyle name="Moneda 3 3 2 3" xfId="5515" xr:uid="{98C4561C-BA62-4C3E-9CAF-E06DE77C8B6D}"/>
    <cellStyle name="Moneda 3 3 2 3 2" xfId="13076" xr:uid="{F764DAA7-C41D-4B26-9020-F71FAF4C4E19}"/>
    <cellStyle name="Moneda 3 3 2 4" xfId="6919" xr:uid="{97F868AD-A62A-4D06-A130-D1EFF5A68010}"/>
    <cellStyle name="Moneda 3 3 2 4 2" xfId="14448" xr:uid="{2A6961E3-6503-4D1E-A3D6-F7E6B1C50E36}"/>
    <cellStyle name="Moneda 3 3 2 5" xfId="10093" xr:uid="{B5EABCB0-24F1-479F-B3AC-ED96EE4937D1}"/>
    <cellStyle name="Moneda 3 3 3" xfId="2630" xr:uid="{00B99B02-6C5A-427C-AB38-3E973C859A5A}"/>
    <cellStyle name="Moneda 3 3 3 2" xfId="5635" xr:uid="{FBCD7107-DA36-4F05-9658-A687AF31F74D}"/>
    <cellStyle name="Moneda 3 3 3 2 2" xfId="13196" xr:uid="{CC8A37A6-894B-4A10-BDCA-B00FC7EB0B4E}"/>
    <cellStyle name="Moneda 3 3 3 3" xfId="7039" xr:uid="{C6A8D2CB-802B-45AB-813F-AAB4A9215448}"/>
    <cellStyle name="Moneda 3 3 3 3 2" xfId="14568" xr:uid="{53BFA598-26C9-470C-A756-F18EB3B85B4C}"/>
    <cellStyle name="Moneda 3 3 3 4" xfId="10213" xr:uid="{375E21A9-F897-4217-B289-2627586A28DA}"/>
    <cellStyle name="Moneda 3 3 4" xfId="2752" xr:uid="{ADD73E7F-EDA8-4C8C-9E3A-CE8D873AEF43}"/>
    <cellStyle name="Moneda 3 3 4 2" xfId="5757" xr:uid="{E15A22C3-993B-4569-8333-B0680F8C6325}"/>
    <cellStyle name="Moneda 3 3 4 2 2" xfId="13318" xr:uid="{305500B3-2CE2-48AD-BE3B-16E367C01B9A}"/>
    <cellStyle name="Moneda 3 3 4 3" xfId="7161" xr:uid="{75C5E8D6-7D76-497B-95AB-822CFEEF6BF4}"/>
    <cellStyle name="Moneda 3 3 4 3 2" xfId="14690" xr:uid="{9DE9C817-5CAD-433E-9353-2679F9F9CA68}"/>
    <cellStyle name="Moneda 3 3 4 4" xfId="10335" xr:uid="{3A6D9989-19A1-4E5E-8A01-ED8AE43A130F}"/>
    <cellStyle name="Moneda 3 3 5" xfId="2877" xr:uid="{A4A4988A-55E3-4420-92B7-6284CF07B79E}"/>
    <cellStyle name="Moneda 3 3 5 2" xfId="5881" xr:uid="{2A049709-0C24-40AD-AEF0-57C5CD20A057}"/>
    <cellStyle name="Moneda 3 3 5 2 2" xfId="13442" xr:uid="{07CDC922-3DF3-4A1E-ADF4-61DD1EBE9755}"/>
    <cellStyle name="Moneda 3 3 5 3" xfId="7285" xr:uid="{463978E2-EFCA-495D-90D8-A013AE3B4A21}"/>
    <cellStyle name="Moneda 3 3 5 3 2" xfId="14814" xr:uid="{8086A6F5-9F58-4D74-B95F-D54E2E78F43A}"/>
    <cellStyle name="Moneda 3 3 5 4" xfId="10459" xr:uid="{D7F27B7D-AD8A-4123-9B9D-DDAF604ADBA4}"/>
    <cellStyle name="Moneda 3 3 6" xfId="3001" xr:uid="{B9F7B38D-CE3E-4736-8F5B-FC94CDEDD50B}"/>
    <cellStyle name="Moneda 3 3 6 2" xfId="6005" xr:uid="{C652C84E-C4D1-4B7B-8A2F-8EA59378FC72}"/>
    <cellStyle name="Moneda 3 3 6 2 2" xfId="13566" xr:uid="{77F44FBE-4B53-446C-BEBF-69263B83496F}"/>
    <cellStyle name="Moneda 3 3 6 3" xfId="7409" xr:uid="{ECE35BE0-4CBA-4069-86DE-BD43DF66D2BC}"/>
    <cellStyle name="Moneda 3 3 6 3 2" xfId="14938" xr:uid="{53E6F52A-9907-4351-8486-0B1B44B05BDF}"/>
    <cellStyle name="Moneda 3 3 6 4" xfId="10583" xr:uid="{DEFD2AA8-3241-4ED9-88C1-5F7D41A44F35}"/>
    <cellStyle name="Moneda 3 3 7" xfId="3125" xr:uid="{D003AEA3-CFC4-49ED-BD98-CFCA6B935B50}"/>
    <cellStyle name="Moneda 3 3 7 2" xfId="6129" xr:uid="{04C5625E-DEF7-44B0-B7FF-0016A6D43FEF}"/>
    <cellStyle name="Moneda 3 3 7 2 2" xfId="13690" xr:uid="{E722CD4C-3CD9-48B3-B245-E8D36C4F61EB}"/>
    <cellStyle name="Moneda 3 3 7 3" xfId="7533" xr:uid="{9FEC030B-BC38-4F45-97BE-B47DBBD79D54}"/>
    <cellStyle name="Moneda 3 3 7 3 2" xfId="15062" xr:uid="{426E6630-7497-43C9-B03D-7FBA405E2DC3}"/>
    <cellStyle name="Moneda 3 3 7 4" xfId="10707" xr:uid="{0F1DC942-3E00-439E-A997-8B0C8F6CCD93}"/>
    <cellStyle name="Moneda 3 3 8" xfId="3250" xr:uid="{BD02C593-8FA5-4C6F-B1AD-A87E9D1491A8}"/>
    <cellStyle name="Moneda 3 3 8 2" xfId="6254" xr:uid="{05E9BE51-E9A4-4A39-8A5E-48F98210E7FF}"/>
    <cellStyle name="Moneda 3 3 8 2 2" xfId="13815" xr:uid="{CBEE346D-FD21-4B55-AB82-95C3AA6FBC66}"/>
    <cellStyle name="Moneda 3 3 8 3" xfId="7658" xr:uid="{9A8039B0-EF1C-4627-AA3C-FEFBD079E82F}"/>
    <cellStyle name="Moneda 3 3 8 3 2" xfId="15187" xr:uid="{AE12FBC4-4445-4EF1-98DD-9116F53A36C8}"/>
    <cellStyle name="Moneda 3 3 8 4" xfId="10832" xr:uid="{D6871675-7745-453D-ADEF-9D50C40B7E58}"/>
    <cellStyle name="Moneda 3 3 9" xfId="3378" xr:uid="{F71BDC5A-9C1E-4042-8355-69455F283875}"/>
    <cellStyle name="Moneda 3 3 9 2" xfId="6380" xr:uid="{198281F1-9CA3-48F3-BB29-C48863870909}"/>
    <cellStyle name="Moneda 3 3 9 2 2" xfId="13941" xr:uid="{FAC63EAA-6168-448F-ADEF-E8AA5A2261ED}"/>
    <cellStyle name="Moneda 3 3 9 3" xfId="7784" xr:uid="{C168309C-9C7D-4843-9AAC-734B00747322}"/>
    <cellStyle name="Moneda 3 3 9 3 2" xfId="15313" xr:uid="{9E7F9D14-92B3-47AE-BD70-A5F6CC76429A}"/>
    <cellStyle name="Moneda 3 3 9 4" xfId="10958" xr:uid="{2A9A7B30-7B0A-40BD-A5C8-BC6BB6949845}"/>
    <cellStyle name="Moneda 3 4" xfId="1427" xr:uid="{76CB6D00-170B-4EBD-8EB3-14CDFA414E55}"/>
    <cellStyle name="Moneda 3 4 2" xfId="2450" xr:uid="{4BF1428C-E316-4B40-945D-FF856ADF1AA0}"/>
    <cellStyle name="Moneda 3 4 2 2" xfId="6583" xr:uid="{4C70FD70-1A95-4E69-9202-4D499116607C}"/>
    <cellStyle name="Moneda 3 4 2 2 2" xfId="14136" xr:uid="{DFA79366-4982-4CEE-97B6-1DF4A2E7A3F3}"/>
    <cellStyle name="Moneda 3 4 2 3" xfId="7979" xr:uid="{AD9A3B41-8BF9-4034-B7D5-EE9237735CF7}"/>
    <cellStyle name="Moneda 3 4 2 3 2" xfId="15508" xr:uid="{D47E5289-3F30-47F9-A363-51754FF31FF8}"/>
    <cellStyle name="Moneda 3 4 2 4" xfId="10034" xr:uid="{DBEF2CA5-30A4-4ADA-984B-6CA745E0C688}"/>
    <cellStyle name="Moneda 3 4 3" xfId="4387" xr:uid="{3B7CDC84-5071-4494-BD84-6DD400E0BFBA}"/>
    <cellStyle name="Moneda 3 4 3 2" xfId="11955" xr:uid="{08C0025E-3CB1-4464-9FDD-7E51A07198F5}"/>
    <cellStyle name="Moneda 3 4 4" xfId="5456" xr:uid="{A81FC16A-3B2B-499B-9A3B-4D83F0C3C681}"/>
    <cellStyle name="Moneda 3 4 4 2" xfId="13017" xr:uid="{629FBD7D-BA3F-4E6C-A073-B0A9CAF53BD8}"/>
    <cellStyle name="Moneda 3 4 5" xfId="6860" xr:uid="{D2800490-6DAD-4126-ABBA-42F8776AAAC4}"/>
    <cellStyle name="Moneda 3 4 5 2" xfId="14389" xr:uid="{FB257EF5-6653-4D66-B5D2-56972329CEC7}"/>
    <cellStyle name="Moneda 3 4 6" xfId="9035" xr:uid="{DB740D6D-0C2B-4258-BFB5-68BB3121B919}"/>
    <cellStyle name="Moneda 3 5" xfId="1806" xr:uid="{9C7011A7-5E00-49EB-9C9D-C17CBDCB754E}"/>
    <cellStyle name="Moneda 3 5 2" xfId="2572" xr:uid="{58754192-A0D7-415A-BBC2-DE9442C5245D}"/>
    <cellStyle name="Moneda 3 5 2 2" xfId="10155" xr:uid="{96AAB852-9699-403C-AD96-360D1693F49F}"/>
    <cellStyle name="Moneda 3 5 3" xfId="4765" xr:uid="{EEE8A698-1B25-49A0-870C-808A4E8E8691}"/>
    <cellStyle name="Moneda 3 5 3 2" xfId="12333" xr:uid="{7CA922E5-89F2-48E4-8B65-9109D8CC4E32}"/>
    <cellStyle name="Moneda 3 5 4" xfId="5577" xr:uid="{6039B155-533F-4F7D-9E0D-8E2B640627AB}"/>
    <cellStyle name="Moneda 3 5 4 2" xfId="13138" xr:uid="{D0162456-3FE4-4FDB-A322-E848C1E38D93}"/>
    <cellStyle name="Moneda 3 5 5" xfId="6981" xr:uid="{DFB2B0AC-06C6-4223-828E-1A98C23FE6AF}"/>
    <cellStyle name="Moneda 3 5 5 2" xfId="14510" xr:uid="{919D1E8E-956F-49DA-9848-72D1DE8D612D}"/>
    <cellStyle name="Moneda 3 5 6" xfId="9413" xr:uid="{F42FF225-2683-4A8C-AF6E-0DD371185AF3}"/>
    <cellStyle name="Moneda 3 6" xfId="2694" xr:uid="{9C11A2C6-857C-4560-84A0-21AC33BC209E}"/>
    <cellStyle name="Moneda 3 6 2" xfId="5699" xr:uid="{36EAB910-D47A-48D2-94C8-0BA545D329E4}"/>
    <cellStyle name="Moneda 3 6 2 2" xfId="13260" xr:uid="{AC4C6B87-298C-426D-AEC7-6C123B980E06}"/>
    <cellStyle name="Moneda 3 6 3" xfId="7103" xr:uid="{AF7D07D4-F1FC-4A0F-98E3-2D38D53A42B7}"/>
    <cellStyle name="Moneda 3 6 3 2" xfId="14632" xr:uid="{B7592EFD-4A6B-4197-80A9-7FB04DA4A575}"/>
    <cellStyle name="Moneda 3 6 4" xfId="10277" xr:uid="{39989723-B4BD-4662-96AC-C82DB006F0BD}"/>
    <cellStyle name="Moneda 3 7" xfId="2819" xr:uid="{94947AA0-7B63-488E-B496-9DA8725CDED2}"/>
    <cellStyle name="Moneda 3 7 2" xfId="5823" xr:uid="{9AADDF79-4BB5-48B3-8BCA-C28AC2BEF686}"/>
    <cellStyle name="Moneda 3 7 2 2" xfId="13384" xr:uid="{E4FBB29B-3C7D-4305-A865-C56E59366BE8}"/>
    <cellStyle name="Moneda 3 7 3" xfId="7227" xr:uid="{FA8FD914-FC70-4B11-854B-EE6A0E8EE240}"/>
    <cellStyle name="Moneda 3 7 3 2" xfId="14756" xr:uid="{F30425F3-80F9-4C1F-A093-FA4A392070A5}"/>
    <cellStyle name="Moneda 3 7 4" xfId="10401" xr:uid="{148FA7F6-46C6-49FF-AA12-40119BF87682}"/>
    <cellStyle name="Moneda 3 8" xfId="2943" xr:uid="{D6C2D2CC-BBF6-4A72-A5E6-C40E108362EA}"/>
    <cellStyle name="Moneda 3 8 2" xfId="5947" xr:uid="{126A0451-594F-45CD-99B1-974543DED4C7}"/>
    <cellStyle name="Moneda 3 8 2 2" xfId="13508" xr:uid="{F877D301-2131-4317-BD4B-EE9C0DAE7239}"/>
    <cellStyle name="Moneda 3 8 3" xfId="7351" xr:uid="{560C11C5-8A21-4E77-BDCE-B1A1729B4FE1}"/>
    <cellStyle name="Moneda 3 8 3 2" xfId="14880" xr:uid="{5AD3327F-DCAE-4E15-AF08-B745ADB21D3F}"/>
    <cellStyle name="Moneda 3 8 4" xfId="10525" xr:uid="{33B9BFB7-8A35-45BB-9B9F-BA6D8A2E62B5}"/>
    <cellStyle name="Moneda 3 9" xfId="3067" xr:uid="{C9E09BB4-BB3C-4B74-8A19-8B1AC08FFA22}"/>
    <cellStyle name="Moneda 3 9 2" xfId="6071" xr:uid="{CA440099-92F8-4ACE-802B-5D57C35CAC44}"/>
    <cellStyle name="Moneda 3 9 2 2" xfId="13632" xr:uid="{EA7D44D3-8847-4B53-8A70-52F29E3B3C36}"/>
    <cellStyle name="Moneda 3 9 3" xfId="7475" xr:uid="{97373110-EACB-4B8F-9D67-8CBA92EDA7D2}"/>
    <cellStyle name="Moneda 3 9 3 2" xfId="15004" xr:uid="{D27DEDDB-B036-4FE8-BE85-1CE85EDE4865}"/>
    <cellStyle name="Moneda 3 9 4" xfId="10649" xr:uid="{D83ACA7B-C59E-4FBB-B23A-10B507FDA08B}"/>
    <cellStyle name="Moneda 30" xfId="274" xr:uid="{3447F4B3-0B62-4347-951D-223AFB6E8D86}"/>
    <cellStyle name="Moneda 30 2" xfId="1117" xr:uid="{0D57919C-370B-42D6-8C75-1B71E5B36418}"/>
    <cellStyle name="Moneda 30 2 2" xfId="3185" xr:uid="{7E6CD050-66E7-4E91-A2B5-47D93C52AB17}"/>
    <cellStyle name="Moneda 30 2 2 2" xfId="10767" xr:uid="{F66E64AE-764D-4ADA-8C32-C2FB9C760C16}"/>
    <cellStyle name="Moneda 30 2 3" xfId="4077" xr:uid="{DB2DAB3C-799C-4F68-9262-0AB8F721573F}"/>
    <cellStyle name="Moneda 30 2 3 2" xfId="11645" xr:uid="{4495F055-2F1D-48AE-8ADF-D7D75C787ACF}"/>
    <cellStyle name="Moneda 30 2 4" xfId="6189" xr:uid="{7C08A593-8122-43B0-9ACA-768576229458}"/>
    <cellStyle name="Moneda 30 2 4 2" xfId="13750" xr:uid="{AC03AD41-3216-4245-BB7F-3224B796558A}"/>
    <cellStyle name="Moneda 30 2 5" xfId="7593" xr:uid="{F04E8E65-2ABB-4C78-9060-6BD0BE1F7C8D}"/>
    <cellStyle name="Moneda 30 2 5 2" xfId="15122" xr:uid="{FF5A57B6-8AB5-43E3-9FBB-973F8E98D215}"/>
    <cellStyle name="Moneda 30 2 6" xfId="8725" xr:uid="{461AEF24-758B-4BD8-986A-F70AB3D1E87A}"/>
    <cellStyle name="Moneda 30 3" xfId="1481" xr:uid="{728EA781-F4D4-453C-8DE2-EE670114B245}"/>
    <cellStyle name="Moneda 30 3 2" xfId="3310" xr:uid="{A71B74C5-9F3C-4931-96FE-EB9E21414C9C}"/>
    <cellStyle name="Moneda 30 3 2 2" xfId="10892" xr:uid="{CF5D54E3-43AD-4980-A2EE-58309498F78E}"/>
    <cellStyle name="Moneda 30 3 3" xfId="4441" xr:uid="{09B638EF-F0F2-485E-B7A1-2A584F2C90A3}"/>
    <cellStyle name="Moneda 30 3 3 2" xfId="12009" xr:uid="{E26B2888-7C7C-4703-B674-4BDF48663763}"/>
    <cellStyle name="Moneda 30 3 4" xfId="6314" xr:uid="{4382F3FA-F2F5-465E-B328-383A638C0EF7}"/>
    <cellStyle name="Moneda 30 3 4 2" xfId="13875" xr:uid="{524EE220-B6DB-46E4-8312-99B82BE9A2AE}"/>
    <cellStyle name="Moneda 30 3 5" xfId="7718" xr:uid="{A7533866-E24F-44EA-B226-3B731790DEC7}"/>
    <cellStyle name="Moneda 30 3 5 2" xfId="15247" xr:uid="{07A65DF6-CF6D-42E2-997D-13661458A03B}"/>
    <cellStyle name="Moneda 30 3 6" xfId="9089" xr:uid="{C2609C37-C7E4-4C28-ACD0-F1F6997EABF2}"/>
    <cellStyle name="Moneda 30 4" xfId="1860" xr:uid="{EDE91328-7D1B-4548-B207-A0FFF3E021D2}"/>
    <cellStyle name="Moneda 30 4 2" xfId="3438" xr:uid="{2927F337-6D8C-451A-A048-719931D46387}"/>
    <cellStyle name="Moneda 30 4 2 2" xfId="11018" xr:uid="{006FE660-7EC1-4685-AF6B-97700C68D507}"/>
    <cellStyle name="Moneda 30 4 3" xfId="4819" xr:uid="{47691C78-CD9D-48E1-B730-B4AD6DEACDB2}"/>
    <cellStyle name="Moneda 30 4 3 2" xfId="12387" xr:uid="{457D517D-C1E3-4597-B2C8-DE0A4ED14651}"/>
    <cellStyle name="Moneda 30 4 4" xfId="6440" xr:uid="{F648CA4D-17A6-4B9A-B99D-31EE404FD9A7}"/>
    <cellStyle name="Moneda 30 4 4 2" xfId="14001" xr:uid="{8717D05B-5575-4F40-B885-F3E436026880}"/>
    <cellStyle name="Moneda 30 4 5" xfId="7844" xr:uid="{33D241AB-A426-4A1D-A8D3-FE73A73DC557}"/>
    <cellStyle name="Moneda 30 4 5 2" xfId="15373" xr:uid="{F3701EEA-DF62-475E-86F1-BEFDE76D2622}"/>
    <cellStyle name="Moneda 30 4 6" xfId="9467" xr:uid="{FFFA1FF0-B60E-40F7-AF14-9EC0059DA71C}"/>
    <cellStyle name="Moneda 30 5" xfId="2688" xr:uid="{C6A77950-29F6-40FC-9C5A-231E99D795C5}"/>
    <cellStyle name="Moneda 30 5 2" xfId="10271" xr:uid="{50053A8F-A7A5-4F40-A6F9-B6AB5D640CDF}"/>
    <cellStyle name="Moneda 30 6" xfId="3546" xr:uid="{4BA4166F-49D7-487C-A815-68CF458934F1}"/>
    <cellStyle name="Moneda 30 6 2" xfId="11114" xr:uid="{4B336EBB-50DA-4BE0-AC71-51C9EFA805A6}"/>
    <cellStyle name="Moneda 30 7" xfId="5693" xr:uid="{517A999C-3930-4137-9557-4493569A3EFC}"/>
    <cellStyle name="Moneda 30 7 2" xfId="13254" xr:uid="{97D04C08-9186-411F-84E1-4E0F9BBEBCAF}"/>
    <cellStyle name="Moneda 30 8" xfId="7097" xr:uid="{79B83BBA-13DD-464C-9FE8-BA5EEB5CEA98}"/>
    <cellStyle name="Moneda 30 8 2" xfId="14626" xr:uid="{F1227238-8C83-4C06-9F28-A52F8B9B76A6}"/>
    <cellStyle name="Moneda 30 9" xfId="8194" xr:uid="{35C2531A-D398-4087-8193-8B2E450CABB3}"/>
    <cellStyle name="Moneda 300" xfId="3447" xr:uid="{E8BAFC48-1135-496D-891D-8360BCCEFF6F}"/>
    <cellStyle name="Moneda 300 2" xfId="11022" xr:uid="{F6487250-DA0B-4FF4-944A-A28761B96799}"/>
    <cellStyle name="Moneda 301" xfId="3467" xr:uid="{8C3E0C6E-F195-43AA-831E-AFA61D574DC4}"/>
    <cellStyle name="Moneda 301 2" xfId="11035" xr:uid="{3CD91FEB-D803-4D62-94CF-9E4F9EFFED7D}"/>
    <cellStyle name="Moneda 302" xfId="3468" xr:uid="{9066E606-7047-4880-AC61-38AB2AD5A8BE}"/>
    <cellStyle name="Moneda 302 2" xfId="11036" xr:uid="{5FE4C3CF-694B-450D-90E4-A06B30D09C14}"/>
    <cellStyle name="Moneda 303" xfId="5263" xr:uid="{8852E3DD-5A6B-4C48-8063-EB89508E79A2}"/>
    <cellStyle name="Moneda 303 2" xfId="12831" xr:uid="{FE3DAB33-1EC2-4C83-9AC7-FFD9BB903606}"/>
    <cellStyle name="Moneda 304" xfId="5264" xr:uid="{BF0DDC25-3907-4F4F-9630-3CC34CC4A1B5}"/>
    <cellStyle name="Moneda 304 2" xfId="12832" xr:uid="{A8CB9F9C-2FC3-4E5D-A878-AC6D88EFEC0F}"/>
    <cellStyle name="Moneda 305" xfId="5287" xr:uid="{DE594300-AF0F-40FB-9706-F8B8986F864B}"/>
    <cellStyle name="Moneda 305 2" xfId="12848" xr:uid="{5B63143D-2C53-43C6-B8D6-F429425E51E8}"/>
    <cellStyle name="Moneda 306" xfId="5285" xr:uid="{59FF616D-A543-4856-A12B-3EB6F7958706}"/>
    <cellStyle name="Moneda 306 2" xfId="12846" xr:uid="{37DD7ADC-25F2-45F3-A284-4E5769B29A74}"/>
    <cellStyle name="Moneda 307" xfId="5308" xr:uid="{D0590297-EC5B-430E-8FEB-7D191151E504}"/>
    <cellStyle name="Moneda 307 2" xfId="12869" xr:uid="{81C761C9-4BBD-439A-942E-68BDA2F24A93}"/>
    <cellStyle name="Moneda 308" xfId="5318" xr:uid="{584D421D-9DEB-4D8A-8E78-E6FDFC99FA93}"/>
    <cellStyle name="Moneda 308 2" xfId="12879" xr:uid="{76F9BA6A-B407-42FC-BEF6-246D788FD04C}"/>
    <cellStyle name="Moneda 309" xfId="5325" xr:uid="{E149E657-41A3-409F-87FD-891F0599DF15}"/>
    <cellStyle name="Moneda 309 2" xfId="12886" xr:uid="{4C9A5E4E-A4DB-4FB9-899E-20C4FE108753}"/>
    <cellStyle name="Moneda 31" xfId="277" xr:uid="{4DEC6BF5-4703-4380-8285-5D12F208D268}"/>
    <cellStyle name="Moneda 31 2" xfId="1119" xr:uid="{4307505E-5FE5-478F-8AA6-BB96EF8B897E}"/>
    <cellStyle name="Moneda 31 2 2" xfId="3312" xr:uid="{6F6130A0-1F47-4FD6-A81E-754ED9BC4120}"/>
    <cellStyle name="Moneda 31 2 2 2" xfId="10893" xr:uid="{C95E5955-DA90-47D1-B0BF-C04EA105C415}"/>
    <cellStyle name="Moneda 31 2 3" xfId="4079" xr:uid="{48EDCC69-56D3-4D34-ABD0-27C8F7E36DC2}"/>
    <cellStyle name="Moneda 31 2 3 2" xfId="11647" xr:uid="{7C11AF53-09E3-4DBC-ACB9-D04FCF919FAE}"/>
    <cellStyle name="Moneda 31 2 4" xfId="6315" xr:uid="{C12AC956-5EA3-4FA6-B1D2-54FACF0F2902}"/>
    <cellStyle name="Moneda 31 2 4 2" xfId="13876" xr:uid="{822DDC3C-1729-497E-B37A-8D62AD0EE5EC}"/>
    <cellStyle name="Moneda 31 2 5" xfId="7719" xr:uid="{889C1919-6159-41BB-BF32-01C24EB72FD5}"/>
    <cellStyle name="Moneda 31 2 5 2" xfId="15248" xr:uid="{CBD2A5D9-D881-4332-8CBE-4DD31A542B34}"/>
    <cellStyle name="Moneda 31 2 6" xfId="8727" xr:uid="{009EA5FB-8786-41BE-BB29-ECA1AD197D4D}"/>
    <cellStyle name="Moneda 31 3" xfId="1483" xr:uid="{8F0B90F5-BF17-4088-8904-6228FB788B5B}"/>
    <cellStyle name="Moneda 31 3 2" xfId="3439" xr:uid="{D3D3F099-D54A-4283-A1ED-DE12FBDF2FA4}"/>
    <cellStyle name="Moneda 31 3 2 2" xfId="11019" xr:uid="{D809E86D-FE06-4E17-95A0-97AE51A5B771}"/>
    <cellStyle name="Moneda 31 3 3" xfId="4443" xr:uid="{DC439E5E-3F4E-43C7-9577-5625199DFBAC}"/>
    <cellStyle name="Moneda 31 3 3 2" xfId="12011" xr:uid="{355D55E8-AB56-4C1E-875D-039923E2867A}"/>
    <cellStyle name="Moneda 31 3 4" xfId="6441" xr:uid="{1084C6C1-9778-42B0-AD1F-18AFF641BBD0}"/>
    <cellStyle name="Moneda 31 3 4 2" xfId="14002" xr:uid="{23BA14C9-B820-416F-9D65-5C1C33DF025B}"/>
    <cellStyle name="Moneda 31 3 5" xfId="7845" xr:uid="{1FB97A34-E25F-4B28-B816-DBF9EBA27E1B}"/>
    <cellStyle name="Moneda 31 3 5 2" xfId="15374" xr:uid="{CA36E0F5-5E30-409C-A4DF-EE279942F309}"/>
    <cellStyle name="Moneda 31 3 6" xfId="9091" xr:uid="{4B8DA487-ABBD-4E22-AD01-FA92AF63D3D2}"/>
    <cellStyle name="Moneda 31 4" xfId="1862" xr:uid="{1E4D5F5F-D642-4A64-9F0C-4A8DFD42BA48}"/>
    <cellStyle name="Moneda 31 4 2" xfId="4821" xr:uid="{5E9CAF17-9778-45F6-964C-4CB4729DE1A9}"/>
    <cellStyle name="Moneda 31 4 2 2" xfId="12389" xr:uid="{788FE037-65E7-42CC-B9CA-9F7E8221D310}"/>
    <cellStyle name="Moneda 31 4 3" xfId="9469" xr:uid="{CD626C0C-3E9A-46C9-A2C7-C293C80C7A69}"/>
    <cellStyle name="Moneda 31 5" xfId="2813" xr:uid="{63AAB40F-6701-4477-AD42-F8BE9E0BD207}"/>
    <cellStyle name="Moneda 31 5 2" xfId="10395" xr:uid="{B6A9D99A-DC9E-484C-9D5B-8729AB38DC01}"/>
    <cellStyle name="Moneda 31 6" xfId="3548" xr:uid="{1EC660C0-9163-4BAF-A79B-8B470227EE6F}"/>
    <cellStyle name="Moneda 31 6 2" xfId="11116" xr:uid="{A945117B-C299-4B92-BEA1-3CF32112750E}"/>
    <cellStyle name="Moneda 31 7" xfId="5817" xr:uid="{2BB151AF-2B62-4E88-A977-2EDADDC9A96C}"/>
    <cellStyle name="Moneda 31 7 2" xfId="13378" xr:uid="{6EE6E9B9-843E-496F-BA80-3B75BD2292CC}"/>
    <cellStyle name="Moneda 31 8" xfId="7221" xr:uid="{BD288D4D-4F46-4D35-94BB-36A45943C7B9}"/>
    <cellStyle name="Moneda 31 8 2" xfId="14750" xr:uid="{AA34C2EC-D8F8-48C2-97CF-22F92FF55607}"/>
    <cellStyle name="Moneda 31 9" xfId="8196" xr:uid="{6E21A3D1-4A47-4A62-A8F3-1884B37F3203}"/>
    <cellStyle name="Moneda 310" xfId="5331" xr:uid="{D91EC147-C90E-4145-9C62-42AA4E574A55}"/>
    <cellStyle name="Moneda 310 2" xfId="12892" xr:uid="{F0A408B2-F0E2-4CFA-84F0-1E07B56FD58E}"/>
    <cellStyle name="Moneda 311" xfId="5330" xr:uid="{1FCC7491-8321-4352-BA8E-6F2C78F7218F}"/>
    <cellStyle name="Moneda 311 2" xfId="12891" xr:uid="{6B114B14-1CA6-4696-A6EE-F66A75008B87}"/>
    <cellStyle name="Moneda 312" xfId="5329" xr:uid="{3B100765-5412-4203-BDAB-770D96EA3A7D}"/>
    <cellStyle name="Moneda 312 2" xfId="12890" xr:uid="{011C0A7F-34B2-41EC-9A7E-CBDEBD0F015B}"/>
    <cellStyle name="Moneda 313" xfId="5328" xr:uid="{8F618436-8094-4BBE-B2A2-39DDFFABB2DF}"/>
    <cellStyle name="Moneda 313 2" xfId="12889" xr:uid="{E4501350-1EE3-4A22-8083-DABAF8F06314}"/>
    <cellStyle name="Moneda 314" xfId="5327" xr:uid="{C90600ED-9D56-4F6D-A88E-95DDD9178A8D}"/>
    <cellStyle name="Moneda 314 2" xfId="12888" xr:uid="{815984F4-D9E9-4268-B2CA-1D86C4ADF5D7}"/>
    <cellStyle name="Moneda 315" xfId="5326" xr:uid="{835EFB9A-8CE6-41C7-B709-F2414E1071C8}"/>
    <cellStyle name="Moneda 315 2" xfId="12887" xr:uid="{3B1A68C0-DB60-4F3E-924A-34C24B693DCE}"/>
    <cellStyle name="Moneda 316" xfId="5324" xr:uid="{AF5B8781-0A98-4374-B03B-70206379DC46}"/>
    <cellStyle name="Moneda 316 2" xfId="12885" xr:uid="{1E222D11-03CE-4F7F-A82F-0A8BD4608757}"/>
    <cellStyle name="Moneda 317" xfId="5323" xr:uid="{36BB223E-73BF-4A8A-AE21-B4C4A18229CA}"/>
    <cellStyle name="Moneda 317 2" xfId="12884" xr:uid="{ADA281A6-E9E9-4ED1-916A-10B9BBD36120}"/>
    <cellStyle name="Moneda 318" xfId="5322" xr:uid="{B853378F-0422-4AB9-9D94-ED45A1967E20}"/>
    <cellStyle name="Moneda 318 2" xfId="12883" xr:uid="{0D605072-36BC-4F1E-93DA-5C57BF818DA9}"/>
    <cellStyle name="Moneda 319" xfId="5321" xr:uid="{1C50A5EA-0DEF-4BD0-B873-C03EBEC407EB}"/>
    <cellStyle name="Moneda 319 2" xfId="12882" xr:uid="{F48C1340-BD0B-4DB1-860D-7973EC9E5B61}"/>
    <cellStyle name="Moneda 32" xfId="280" xr:uid="{5AEB0125-B153-4D9C-86C2-7E2BB9F09C1F}"/>
    <cellStyle name="Moneda 32 2" xfId="1121" xr:uid="{2185F12A-B496-41C3-B495-AC90E5D67987}"/>
    <cellStyle name="Moneda 32 2 2" xfId="3440" xr:uid="{7A736C79-A367-4566-98E6-A2DFD28DBFF0}"/>
    <cellStyle name="Moneda 32 2 2 2" xfId="11020" xr:uid="{99CB9AA2-575E-4A8B-BB15-477538BAAAB7}"/>
    <cellStyle name="Moneda 32 2 3" xfId="4081" xr:uid="{9541DDA9-F0FA-4678-B0B3-55D0F3873EDD}"/>
    <cellStyle name="Moneda 32 2 3 2" xfId="11649" xr:uid="{2CEFD1BA-9F7A-4F0C-90B4-E269DF658F64}"/>
    <cellStyle name="Moneda 32 2 4" xfId="6442" xr:uid="{55B725E8-A1F0-4330-B090-3AF357F33ABE}"/>
    <cellStyle name="Moneda 32 2 4 2" xfId="14003" xr:uid="{813777D1-865C-4367-B0DC-1A860CA1106F}"/>
    <cellStyle name="Moneda 32 2 5" xfId="7846" xr:uid="{F5BB6B05-747A-4EC6-B9B5-767A25C17721}"/>
    <cellStyle name="Moneda 32 2 5 2" xfId="15375" xr:uid="{F76A67E9-2EDE-476D-96EB-611E31B334DF}"/>
    <cellStyle name="Moneda 32 2 6" xfId="8729" xr:uid="{5B67D19D-9CFD-46B2-94CA-60021E6B722A}"/>
    <cellStyle name="Moneda 32 3" xfId="1485" xr:uid="{865A8F94-C36B-47FE-9F65-61757E509892}"/>
    <cellStyle name="Moneda 32 3 2" xfId="4445" xr:uid="{65EC2926-84E1-4120-8E03-73DF80B66C32}"/>
    <cellStyle name="Moneda 32 3 2 2" xfId="12013" xr:uid="{D6F09A12-4D55-4A7F-B101-20DC45149D86}"/>
    <cellStyle name="Moneda 32 3 3" xfId="9093" xr:uid="{D43BA383-1EC3-47E3-A225-C8B0C713ABC7}"/>
    <cellStyle name="Moneda 32 4" xfId="1864" xr:uid="{DFCDAD92-063E-4BCF-9B7E-65CA79663CAA}"/>
    <cellStyle name="Moneda 32 4 2" xfId="4823" xr:uid="{590108AB-56C4-4B17-A824-ABCE316DD523}"/>
    <cellStyle name="Moneda 32 4 2 2" xfId="12391" xr:uid="{AF259CE9-07B2-423A-9F7E-ECD611D54555}"/>
    <cellStyle name="Moneda 32 4 3" xfId="9471" xr:uid="{FF3711DE-7BFB-45FB-9F4E-B31608C04C87}"/>
    <cellStyle name="Moneda 32 5" xfId="2937" xr:uid="{D8732EB8-1543-4C58-B141-68B8F8028722}"/>
    <cellStyle name="Moneda 32 5 2" xfId="10519" xr:uid="{82ADEC73-6959-4D0A-85F2-F5F59243999C}"/>
    <cellStyle name="Moneda 32 6" xfId="3550" xr:uid="{72743149-194F-40D4-A16D-B3B011307CBB}"/>
    <cellStyle name="Moneda 32 6 2" xfId="11118" xr:uid="{E15AD761-8000-45AB-8125-0B3202DCAA36}"/>
    <cellStyle name="Moneda 32 7" xfId="5941" xr:uid="{9C0A50C0-4C50-408F-A25A-BAC8F06FFC6E}"/>
    <cellStyle name="Moneda 32 7 2" xfId="13502" xr:uid="{41EA4C58-5165-4E20-96B9-0E0F34597A7B}"/>
    <cellStyle name="Moneda 32 8" xfId="7345" xr:uid="{C68A3277-3A2E-45B7-95AB-B40B5860A418}"/>
    <cellStyle name="Moneda 32 8 2" xfId="14874" xr:uid="{D7A8BA4D-057C-4478-A361-85A28EDA4439}"/>
    <cellStyle name="Moneda 32 9" xfId="8198" xr:uid="{4D538F9C-90E3-42F2-8416-51AA61BEBC31}"/>
    <cellStyle name="Moneda 320" xfId="5320" xr:uid="{BC9F8B84-8C07-4D6F-82F9-627BB614B818}"/>
    <cellStyle name="Moneda 320 2" xfId="12881" xr:uid="{EB97ED5D-E0B5-4B7D-9C19-17DC5C5240FA}"/>
    <cellStyle name="Moneda 321" xfId="5319" xr:uid="{ADA7A558-890F-4A8C-95C6-68F53CF4A452}"/>
    <cellStyle name="Moneda 321 2" xfId="12880" xr:uid="{F96C9A90-68FC-4043-B3E8-F5D90A325D94}"/>
    <cellStyle name="Moneda 322" xfId="5317" xr:uid="{B6047D82-2BA6-4C30-9EC5-0A0C069DBFE9}"/>
    <cellStyle name="Moneda 322 2" xfId="12878" xr:uid="{89B330BF-45F6-4357-8C6B-C3DB30DB322A}"/>
    <cellStyle name="Moneda 323" xfId="5316" xr:uid="{AEB560D0-B723-42B9-9182-47C3327939DC}"/>
    <cellStyle name="Moneda 323 2" xfId="12877" xr:uid="{7D95525D-909A-4226-8215-212849A4E7A7}"/>
    <cellStyle name="Moneda 324" xfId="5315" xr:uid="{A156C327-DDB6-40A1-BCB5-30B01C3E4B95}"/>
    <cellStyle name="Moneda 324 2" xfId="12876" xr:uid="{C205894E-84A4-4827-8654-8EC4D7F82F39}"/>
    <cellStyle name="Moneda 325" xfId="5314" xr:uid="{149DE3E4-04BD-47EA-ABC7-E59A9347AB61}"/>
    <cellStyle name="Moneda 325 2" xfId="12875" xr:uid="{01D4D82B-8429-4E07-BDDC-1B26244E36C6}"/>
    <cellStyle name="Moneda 326" xfId="5313" xr:uid="{9D73BDC3-F49D-427E-BE1A-152DA3AFF718}"/>
    <cellStyle name="Moneda 326 2" xfId="12874" xr:uid="{4A7B8A57-5F15-474F-A615-460407C5527F}"/>
    <cellStyle name="Moneda 327" xfId="5312" xr:uid="{1C115B98-07AE-4928-BDF2-501E6BB4131C}"/>
    <cellStyle name="Moneda 327 2" xfId="12873" xr:uid="{6CE9668C-5296-4029-BCD5-49FC8C9BAFB3}"/>
    <cellStyle name="Moneda 328" xfId="5311" xr:uid="{438513F2-33A6-41A9-9F5C-7463DFBB01C0}"/>
    <cellStyle name="Moneda 328 2" xfId="12872" xr:uid="{446A88FD-C75A-426F-B587-BA75E08C9A1A}"/>
    <cellStyle name="Moneda 329" xfId="5310" xr:uid="{DB1E48DF-98B7-4CB5-9FC7-AB4C9AE772FA}"/>
    <cellStyle name="Moneda 329 2" xfId="12871" xr:uid="{C4B498B1-FC0B-4AE7-844C-E52BD5210BA8}"/>
    <cellStyle name="Moneda 33" xfId="283" xr:uid="{0C9E1256-C976-4C82-8BB3-9C95429B7C07}"/>
    <cellStyle name="Moneda 33 2" xfId="1123" xr:uid="{B431A3FC-1DAE-47D8-8052-14F1D99D8530}"/>
    <cellStyle name="Moneda 33 2 2" xfId="4083" xr:uid="{D8397746-7B58-48DF-86CA-29984CD23B0F}"/>
    <cellStyle name="Moneda 33 2 2 2" xfId="11651" xr:uid="{B3B7C46D-A702-4A3E-A25A-316FBFCA84B8}"/>
    <cellStyle name="Moneda 33 2 3" xfId="8731" xr:uid="{93AC1AEE-D649-41DD-AF0E-05BCB1C745C8}"/>
    <cellStyle name="Moneda 33 3" xfId="1487" xr:uid="{15E365B8-58C7-4444-9AF0-26A260203293}"/>
    <cellStyle name="Moneda 33 3 2" xfId="4447" xr:uid="{0A94E6A2-2533-4378-BE70-EEEC8D6C0FEC}"/>
    <cellStyle name="Moneda 33 3 2 2" xfId="12015" xr:uid="{06CA0860-F20C-41EE-B825-8A21ABC250A0}"/>
    <cellStyle name="Moneda 33 3 3" xfId="9095" xr:uid="{F75B74A5-0F07-40D9-96EC-3486E402118D}"/>
    <cellStyle name="Moneda 33 4" xfId="1866" xr:uid="{654FAE08-B9D1-42E0-BEA6-253200234B6A}"/>
    <cellStyle name="Moneda 33 4 2" xfId="4825" xr:uid="{AB0DD41C-B126-435F-AECE-95F48943DB4E}"/>
    <cellStyle name="Moneda 33 4 2 2" xfId="12393" xr:uid="{EA7E3742-FD09-4635-B770-C944E844B96E}"/>
    <cellStyle name="Moneda 33 4 3" xfId="9473" xr:uid="{FA08E7FD-A3B9-4C9D-9AAB-5D65FD92CB31}"/>
    <cellStyle name="Moneda 33 5" xfId="3061" xr:uid="{CA172F8F-6ACE-4165-BAFE-28E8003A0EBF}"/>
    <cellStyle name="Moneda 33 5 2" xfId="10643" xr:uid="{75625C33-0FFA-422D-892E-3776EEC30E5E}"/>
    <cellStyle name="Moneda 33 6" xfId="3552" xr:uid="{094B6E20-8798-49D2-B6FC-D9C54A6CD525}"/>
    <cellStyle name="Moneda 33 6 2" xfId="11120" xr:uid="{EBAC5199-03B8-40A4-A2C6-4F4F8EB69789}"/>
    <cellStyle name="Moneda 33 7" xfId="6065" xr:uid="{D23BF8A2-082F-4D7B-856D-B90BE6B80CC9}"/>
    <cellStyle name="Moneda 33 7 2" xfId="13626" xr:uid="{FCB68CE6-1F6A-454E-B616-366D6F0A67E2}"/>
    <cellStyle name="Moneda 33 8" xfId="7469" xr:uid="{9B6C15E4-5798-41BC-B278-11131CA6E9ED}"/>
    <cellStyle name="Moneda 33 8 2" xfId="14998" xr:uid="{C5C045CC-70A4-4592-814D-D7D91BDBE13E}"/>
    <cellStyle name="Moneda 33 9" xfId="8200" xr:uid="{A559FB0A-6B86-492F-84C4-2208EEC45DD4}"/>
    <cellStyle name="Moneda 330" xfId="5309" xr:uid="{84ACC803-4673-40B8-88DC-4E7CC3DF4AB9}"/>
    <cellStyle name="Moneda 330 2" xfId="12870" xr:uid="{391E990E-6B83-4AEC-A852-474F55972EDE}"/>
    <cellStyle name="Moneda 331" xfId="5307" xr:uid="{6DF484F0-2848-4C16-B283-4077382D384A}"/>
    <cellStyle name="Moneda 331 2" xfId="12868" xr:uid="{EE349894-BFDD-47BC-B44B-34E5859AFE80}"/>
    <cellStyle name="Moneda 332" xfId="5306" xr:uid="{B4260430-8C40-48F2-86E8-EF7D8AEB4330}"/>
    <cellStyle name="Moneda 332 2" xfId="12867" xr:uid="{1E3203B7-6253-4B74-A4F8-486B38EB421C}"/>
    <cellStyle name="Moneda 333" xfId="5305" xr:uid="{545D2D00-A947-42C2-B147-AD00ABFD27AB}"/>
    <cellStyle name="Moneda 333 2" xfId="12866" xr:uid="{DD79459D-6922-421C-A6D5-4B9D060B8163}"/>
    <cellStyle name="Moneda 334" xfId="5304" xr:uid="{44F2CE13-D342-44BF-A098-D5EFCB06E437}"/>
    <cellStyle name="Moneda 334 2" xfId="12865" xr:uid="{2FD9A0C9-0679-4E51-B0A1-966DE233DF6C}"/>
    <cellStyle name="Moneda 335" xfId="5303" xr:uid="{55770612-8092-4524-AC95-6F25E70EB0BA}"/>
    <cellStyle name="Moneda 335 2" xfId="12864" xr:uid="{DB46B323-E285-496E-B86A-511A6B5FFED3}"/>
    <cellStyle name="Moneda 336" xfId="5302" xr:uid="{AFFAC7F8-8D4A-4F3A-BB93-CE09D2357458}"/>
    <cellStyle name="Moneda 336 2" xfId="12863" xr:uid="{297A73F4-7309-4335-A2F8-D1FA76733D38}"/>
    <cellStyle name="Moneda 337" xfId="5301" xr:uid="{742A370B-9A57-4DE0-ACFC-AD9523DF8653}"/>
    <cellStyle name="Moneda 337 2" xfId="12862" xr:uid="{2B23B65F-C7DB-41F4-8A79-CF825436C3B0}"/>
    <cellStyle name="Moneda 338" xfId="5300" xr:uid="{3FA5ABDD-5DC3-4D6D-9504-A1DDA03D3726}"/>
    <cellStyle name="Moneda 338 2" xfId="12861" xr:uid="{925614D9-0042-414C-B11F-95382EE83800}"/>
    <cellStyle name="Moneda 339" xfId="5299" xr:uid="{E50CD5A8-8E53-4E92-9C4D-69FBE45040A7}"/>
    <cellStyle name="Moneda 339 2" xfId="12860" xr:uid="{A446B812-9717-40CC-8948-D07D2C4CF302}"/>
    <cellStyle name="Moneda 34" xfId="286" xr:uid="{55333BCF-E736-48C8-93B8-F988DD4DA4C1}"/>
    <cellStyle name="Moneda 34 2" xfId="1125" xr:uid="{22DE1CFE-4477-4950-9F9F-82EB723017B1}"/>
    <cellStyle name="Moneda 34 2 2" xfId="4085" xr:uid="{360A8782-5E58-4E2B-8725-B88E143DCD82}"/>
    <cellStyle name="Moneda 34 2 2 2" xfId="11653" xr:uid="{5D6E7081-2F70-4690-A3CB-FF1868877BC2}"/>
    <cellStyle name="Moneda 34 2 3" xfId="8733" xr:uid="{F34BD30C-2967-4172-AC06-EA04B6ECB466}"/>
    <cellStyle name="Moneda 34 3" xfId="1489" xr:uid="{F8DD3853-BF15-4DC9-9D7D-D64DCFA2285A}"/>
    <cellStyle name="Moneda 34 3 2" xfId="4449" xr:uid="{FA27B103-D973-4439-984D-3F1E57781702}"/>
    <cellStyle name="Moneda 34 3 2 2" xfId="12017" xr:uid="{03837B75-539A-4072-91D7-5C577B696439}"/>
    <cellStyle name="Moneda 34 3 3" xfId="9097" xr:uid="{8CA21778-CB56-4719-AE99-268A29281AA5}"/>
    <cellStyle name="Moneda 34 4" xfId="1868" xr:uid="{115A15A6-99FD-4E57-94DE-2A40145E0564}"/>
    <cellStyle name="Moneda 34 4 2" xfId="4827" xr:uid="{597605D2-0644-49C9-86B6-E6774164EFFD}"/>
    <cellStyle name="Moneda 34 4 2 2" xfId="12395" xr:uid="{1136E513-2992-4086-B089-E19B2C4B2AF2}"/>
    <cellStyle name="Moneda 34 4 3" xfId="9475" xr:uid="{53E811CE-87D6-4360-B652-E2A5EE2B2C0F}"/>
    <cellStyle name="Moneda 34 5" xfId="3186" xr:uid="{ADBC5150-E935-4BD8-9294-3E4B174FA569}"/>
    <cellStyle name="Moneda 34 5 2" xfId="10768" xr:uid="{2BDBD63A-2238-4FCB-91BD-ADE5DC246875}"/>
    <cellStyle name="Moneda 34 6" xfId="3554" xr:uid="{04AFF08C-047F-4E68-BF5B-F3C585EA6184}"/>
    <cellStyle name="Moneda 34 6 2" xfId="11122" xr:uid="{2B82F0D7-D579-4C5F-B4C0-528A1E50F9DF}"/>
    <cellStyle name="Moneda 34 7" xfId="6190" xr:uid="{EC85F3A1-0608-413F-B113-C27157ECE944}"/>
    <cellStyle name="Moneda 34 7 2" xfId="13751" xr:uid="{046230AE-AC05-422E-B494-9228BE66D878}"/>
    <cellStyle name="Moneda 34 8" xfId="7594" xr:uid="{A84FDBC9-971C-4FCB-9295-DE0B28275A82}"/>
    <cellStyle name="Moneda 34 8 2" xfId="15123" xr:uid="{F8B3A3D3-05ED-4243-A422-8F689EA4ECB6}"/>
    <cellStyle name="Moneda 34 9" xfId="8202" xr:uid="{2839194B-1BA0-41AA-8C2D-5322EA063B95}"/>
    <cellStyle name="Moneda 340" xfId="5298" xr:uid="{2E94240E-048B-4C97-B6C9-02278E74C425}"/>
    <cellStyle name="Moneda 340 2" xfId="12859" xr:uid="{087C6399-3A8D-41B5-BD88-04378745C08B}"/>
    <cellStyle name="Moneda 341" xfId="5297" xr:uid="{BB523DB1-2F3F-44B5-920E-DDEFE42DD429}"/>
    <cellStyle name="Moneda 341 2" xfId="12858" xr:uid="{3299634C-162F-4A1D-A9F0-C30524B7E111}"/>
    <cellStyle name="Moneda 342" xfId="5296" xr:uid="{3FDFA948-4F9C-4FBE-94F0-14992FB037F8}"/>
    <cellStyle name="Moneda 342 2" xfId="12857" xr:uid="{E99A8F93-531A-4C4D-9132-0B3F140B7262}"/>
    <cellStyle name="Moneda 343" xfId="5295" xr:uid="{ADFF5A5C-B81B-4C94-B4CF-19CCAC6CBE42}"/>
    <cellStyle name="Moneda 343 2" xfId="12856" xr:uid="{83D99B2E-5314-4438-93CD-A1916E5D873F}"/>
    <cellStyle name="Moneda 344" xfId="5294" xr:uid="{0A91CA8D-4145-4009-8F78-2F0C4771AAC8}"/>
    <cellStyle name="Moneda 344 2" xfId="12855" xr:uid="{F76BA0B1-83F8-4F5F-BEFA-68C9741BE88A}"/>
    <cellStyle name="Moneda 345" xfId="5292" xr:uid="{7AB1DBEF-9DE8-4AA4-B4F5-C731ADD04573}"/>
    <cellStyle name="Moneda 345 2" xfId="12853" xr:uid="{C9F0E87A-132E-4DAD-BF2E-9C086EFA2E15}"/>
    <cellStyle name="Moneda 346" xfId="5291" xr:uid="{BC5381EE-2BC4-4540-8B1C-EF0EBF08F8F0}"/>
    <cellStyle name="Moneda 346 2" xfId="12852" xr:uid="{E91B9E41-ACAC-4D4F-BE3D-F159DFEBE71C}"/>
    <cellStyle name="Moneda 347" xfId="5290" xr:uid="{897116C1-22C0-4F19-953F-25BCA68EC212}"/>
    <cellStyle name="Moneda 347 2" xfId="12851" xr:uid="{FA6AA245-F94A-4919-8212-569D1B3109BA}"/>
    <cellStyle name="Moneda 348" xfId="5289" xr:uid="{1448DAF4-A76C-49D5-93C5-353B7D120491}"/>
    <cellStyle name="Moneda 348 2" xfId="12850" xr:uid="{C30BB376-5248-47C4-ACE3-8D9042A0F44B}"/>
    <cellStyle name="Moneda 349" xfId="5293" xr:uid="{D515226A-8129-48D6-AD1D-E11F8C196AB6}"/>
    <cellStyle name="Moneda 349 2" xfId="12854" xr:uid="{6F10F2BC-C5ED-46C1-A6E0-5CE9C3237D78}"/>
    <cellStyle name="Moneda 35" xfId="289" xr:uid="{9EE52D65-85F6-4A68-A473-B61DBAB45E26}"/>
    <cellStyle name="Moneda 35 2" xfId="1127" xr:uid="{A9E17FD7-D057-4FF2-9CA1-E1F587C55798}"/>
    <cellStyle name="Moneda 35 2 2" xfId="4087" xr:uid="{40E81242-AAF3-40A4-BDEE-21AB9622B67E}"/>
    <cellStyle name="Moneda 35 2 2 2" xfId="11655" xr:uid="{D1F55FEA-CAFE-47A8-9237-B87A55DFE946}"/>
    <cellStyle name="Moneda 35 2 3" xfId="8735" xr:uid="{EC06CBF3-B0F7-4B0E-A104-450BC6E89270}"/>
    <cellStyle name="Moneda 35 3" xfId="1491" xr:uid="{BCBC21CD-B9DB-4EFD-90EC-C6CC088B9D66}"/>
    <cellStyle name="Moneda 35 3 2" xfId="4451" xr:uid="{BD2993CC-5EA7-4809-8E55-DE0C04A882D4}"/>
    <cellStyle name="Moneda 35 3 2 2" xfId="12019" xr:uid="{D8086662-2DB4-4BA4-AC74-760DCBCD2153}"/>
    <cellStyle name="Moneda 35 3 3" xfId="9099" xr:uid="{1286DDF7-71E1-4A1A-8FE3-B346E5D73631}"/>
    <cellStyle name="Moneda 35 4" xfId="1870" xr:uid="{097596CE-5B45-4BF2-866A-E5726B867CF5}"/>
    <cellStyle name="Moneda 35 4 2" xfId="4829" xr:uid="{57EA2932-07B6-4247-BD4F-6611F3A94C88}"/>
    <cellStyle name="Moneda 35 4 2 2" xfId="12397" xr:uid="{A5A73B8F-52FA-44BA-A201-93AC3A4AB3CA}"/>
    <cellStyle name="Moneda 35 4 3" xfId="9477" xr:uid="{9D500D27-4051-4823-9BFB-1BBFA84BA445}"/>
    <cellStyle name="Moneda 35 5" xfId="3314" xr:uid="{7F6480D6-3515-4805-BA26-4B5E2FF7E95E}"/>
    <cellStyle name="Moneda 35 5 2" xfId="10894" xr:uid="{E984566C-FD5D-48E0-BF92-9CF948313C80}"/>
    <cellStyle name="Moneda 35 6" xfId="3556" xr:uid="{B6222B39-1DF2-40F1-BA85-7A7359B1A4C9}"/>
    <cellStyle name="Moneda 35 6 2" xfId="11124" xr:uid="{AD09EF48-F2FF-4C2A-AFD5-B99F8B0FA846}"/>
    <cellStyle name="Moneda 35 7" xfId="6316" xr:uid="{61A925D1-DF6A-4180-B243-B9325A1A9389}"/>
    <cellStyle name="Moneda 35 7 2" xfId="13877" xr:uid="{7739F697-E3C4-401C-BD64-BEAD1DC066D4}"/>
    <cellStyle name="Moneda 35 8" xfId="7720" xr:uid="{9ED086AF-421B-4AE2-8033-767F8D5B421A}"/>
    <cellStyle name="Moneda 35 8 2" xfId="15249" xr:uid="{98EF49BE-29BF-4B0B-965A-05443F46C124}"/>
    <cellStyle name="Moneda 35 9" xfId="8204" xr:uid="{680F6A75-F62C-4F93-B51E-419C563A8657}"/>
    <cellStyle name="Moneda 350" xfId="5288" xr:uid="{D4B1E4E2-0DCF-48B8-80BD-51625E7B2504}"/>
    <cellStyle name="Moneda 350 2" xfId="12849" xr:uid="{6E0312A3-438E-4170-A528-441B9F4CE268}"/>
    <cellStyle name="Moneda 351" xfId="5286" xr:uid="{7123281F-8B6D-4E53-A039-802E7839390E}"/>
    <cellStyle name="Moneda 351 2" xfId="12847" xr:uid="{F47667D9-61E6-4676-A765-CD3E1A289796}"/>
    <cellStyle name="Moneda 352" xfId="5284" xr:uid="{5491095F-B4AD-47BF-A4DB-A1DFDC176F9E}"/>
    <cellStyle name="Moneda 352 2" xfId="12845" xr:uid="{E23AC932-66C4-46F0-B013-CB3C3353D002}"/>
    <cellStyle name="Moneda 353" xfId="5283" xr:uid="{0C155C0C-2D57-4927-B753-EE8C97FC1912}"/>
    <cellStyle name="Moneda 353 2" xfId="12844" xr:uid="{0D085939-75B6-4D5B-B753-A0E2BDFF5430}"/>
    <cellStyle name="Moneda 354" xfId="5282" xr:uid="{ABD97721-E98E-45F9-9E03-71A833C4E4F5}"/>
    <cellStyle name="Moneda 354 2" xfId="12843" xr:uid="{151381BD-0EBB-4CB0-9FA1-BDF3F5EF3812}"/>
    <cellStyle name="Moneda 355" xfId="5281" xr:uid="{03F1D067-45AF-4038-A367-25B814F09ED1}"/>
    <cellStyle name="Moneda 355 2" xfId="12842" xr:uid="{0455A815-5C8C-452B-BAA5-16B468E93001}"/>
    <cellStyle name="Moneda 356" xfId="5280" xr:uid="{E10BF095-72B0-4E2F-B5BA-C885BF63A01B}"/>
    <cellStyle name="Moneda 356 2" xfId="12841" xr:uid="{7F542CA2-26E2-4C65-94AE-F2DE3222331A}"/>
    <cellStyle name="Moneda 357" xfId="5278" xr:uid="{F9270DDB-1A88-46F5-B7AB-A813A497AFFE}"/>
    <cellStyle name="Moneda 357 2" xfId="12839" xr:uid="{FB495528-22C1-470F-927E-158FBA35359C}"/>
    <cellStyle name="Moneda 358" xfId="5279" xr:uid="{6B67E36C-0E6D-4D5A-BE57-9B013C1BF531}"/>
    <cellStyle name="Moneda 358 2" xfId="12840" xr:uid="{4F4F6C3E-F3F6-4D10-AEA2-276CA1E184C4}"/>
    <cellStyle name="Moneda 359" xfId="5332" xr:uid="{FACA1A6F-9786-46DD-8F86-21A5C75FE963}"/>
    <cellStyle name="Moneda 359 2" xfId="12893" xr:uid="{4B50D960-B250-4A4C-88E6-E5D5057ED06E}"/>
    <cellStyle name="Moneda 36" xfId="292" xr:uid="{2BF120F3-7AF6-47FD-A0B0-7D9E06C661A6}"/>
    <cellStyle name="Moneda 36 2" xfId="1129" xr:uid="{A624EB09-5BF5-4912-8307-20EF5CB7C4B9}"/>
    <cellStyle name="Moneda 36 2 2" xfId="4089" xr:uid="{8F0C1EF7-2210-4E40-90E4-6B21D96AAA00}"/>
    <cellStyle name="Moneda 36 2 2 2" xfId="11657" xr:uid="{C860B302-7DC7-4B14-A2EA-71CE40CA4E1C}"/>
    <cellStyle name="Moneda 36 2 3" xfId="8737" xr:uid="{F0DC09C5-2BD9-4F0A-8D28-891ED4D78D2A}"/>
    <cellStyle name="Moneda 36 3" xfId="1493" xr:uid="{3243B6FC-E4CD-4137-BE16-ABDE4C56F34D}"/>
    <cellStyle name="Moneda 36 3 2" xfId="4453" xr:uid="{5EF5B66B-CFEB-41B5-B682-710F63FC27A1}"/>
    <cellStyle name="Moneda 36 3 2 2" xfId="12021" xr:uid="{DA9C760E-8634-45AF-BE89-B848E0D20B10}"/>
    <cellStyle name="Moneda 36 3 3" xfId="9101" xr:uid="{D8D8BFB6-4690-4680-AA55-FB297DE2F470}"/>
    <cellStyle name="Moneda 36 4" xfId="1872" xr:uid="{209CD88A-2537-42E3-BF1C-9B19E7DDD228}"/>
    <cellStyle name="Moneda 36 4 2" xfId="4831" xr:uid="{91ACA2CB-BB32-4693-B931-79D49DE4798D}"/>
    <cellStyle name="Moneda 36 4 2 2" xfId="12399" xr:uid="{BEEA7FF5-5527-4E9C-A83D-69B6A1DF18CE}"/>
    <cellStyle name="Moneda 36 4 3" xfId="9479" xr:uid="{775021D8-6373-40EF-8E8C-EBA0602F0587}"/>
    <cellStyle name="Moneda 36 5" xfId="3558" xr:uid="{E8867B51-0E17-4E9B-8E2B-073352A12D31}"/>
    <cellStyle name="Moneda 36 5 2" xfId="11126" xr:uid="{E6A480BC-1232-44D7-A04E-1C64252AB2FF}"/>
    <cellStyle name="Moneda 36 6" xfId="6444" xr:uid="{0DB0D0B0-CC99-439C-9209-001278DE24FA}"/>
    <cellStyle name="Moneda 36 6 2" xfId="14004" xr:uid="{B069A70D-EE9C-41CF-A8CD-BABD84025517}"/>
    <cellStyle name="Moneda 36 7" xfId="7847" xr:uid="{88A0704F-D852-403A-BD4B-B9AF8E45A22F}"/>
    <cellStyle name="Moneda 36 7 2" xfId="15376" xr:uid="{C4EF8405-8842-444F-8AB0-AE5FC6F0F192}"/>
    <cellStyle name="Moneda 36 8" xfId="8206" xr:uid="{AB40ED0A-4DD5-4055-9D8F-3624962C2A27}"/>
    <cellStyle name="Moneda 360" xfId="5348" xr:uid="{12A1418B-528F-4721-99E0-D0360DB57B0A}"/>
    <cellStyle name="Moneda 360 2" xfId="12909" xr:uid="{D7A36215-BC8D-4195-ACE6-6D2692B5806C}"/>
    <cellStyle name="Moneda 361" xfId="5346" xr:uid="{A08D2DA8-8301-4F40-B726-A5B33C8B1E7C}"/>
    <cellStyle name="Moneda 361 2" xfId="12907" xr:uid="{906FE67C-6A6B-4857-91DB-8F9A12DF04B3}"/>
    <cellStyle name="Moneda 362" xfId="6718" xr:uid="{AF804AFD-817D-4165-BAF3-70FA9440B495}"/>
    <cellStyle name="Moneda 362 2" xfId="14254" xr:uid="{4EBFBCC0-2C2A-4C33-8F59-B670666F5A47}"/>
    <cellStyle name="Moneda 363" xfId="6717" xr:uid="{6A5144B2-56F1-48C8-8250-51FE7AB66EFC}"/>
    <cellStyle name="Moneda 363 2" xfId="14253" xr:uid="{851FEF44-77DD-452B-A3C2-E28114BEC049}"/>
    <cellStyle name="Moneda 364" xfId="6723" xr:uid="{CAB1F949-497A-49CA-ACCF-5B8A43BD6B28}"/>
    <cellStyle name="Moneda 364 2" xfId="14255" xr:uid="{59D7456A-AA1C-44CC-BC0A-97A90C996C94}"/>
    <cellStyle name="Moneda 365" xfId="6728" xr:uid="{3F9085FF-48E5-4E88-9B45-6399EAB2F7F3}"/>
    <cellStyle name="Moneda 365 2" xfId="14260" xr:uid="{199B6AF1-2BCE-45C7-897E-429E46D228FB}"/>
    <cellStyle name="Moneda 366" xfId="6733" xr:uid="{D17CA395-2DC3-41BE-8CDB-DAA226C2A4E9}"/>
    <cellStyle name="Moneda 366 2" xfId="14262" xr:uid="{22E055A2-B0BB-4129-B043-49987B2BAE31}"/>
    <cellStyle name="Moneda 367" xfId="6726" xr:uid="{624DEC0A-1698-4F35-A2C8-26A5052D4241}"/>
    <cellStyle name="Moneda 367 2" xfId="14258" xr:uid="{0DD95982-6D3D-4FC0-852A-2CD4614B21E4}"/>
    <cellStyle name="Moneda 368" xfId="6716" xr:uid="{FA4D4557-39F3-4427-81CA-9B800E8BDD7F}"/>
    <cellStyle name="Moneda 368 2" xfId="14252" xr:uid="{FC3D5174-FF81-4BD9-8D4F-3C7FF12A1BBF}"/>
    <cellStyle name="Moneda 369" xfId="6727" xr:uid="{D4F42907-7362-4FB1-817F-B87886F1C5DB}"/>
    <cellStyle name="Moneda 369 2" xfId="14259" xr:uid="{E0E1F476-A3FB-4F15-991E-D3AC3660D43F}"/>
    <cellStyle name="Moneda 37" xfId="295" xr:uid="{CC4FF900-F8AB-4A84-99DD-D38849825B6B}"/>
    <cellStyle name="Moneda 37 2" xfId="1131" xr:uid="{E7F69CAE-9759-4F4B-A6C4-CC2A8E999D18}"/>
    <cellStyle name="Moneda 37 2 2" xfId="4091" xr:uid="{29A7F1D0-B29B-4AD6-AF94-F277EAFDD2D1}"/>
    <cellStyle name="Moneda 37 2 2 2" xfId="11659" xr:uid="{516EC236-8D79-43DA-8261-EB6B84D3CB58}"/>
    <cellStyle name="Moneda 37 2 3" xfId="8739" xr:uid="{29BABB68-B437-4503-9FE0-5C3FE1CC8378}"/>
    <cellStyle name="Moneda 37 3" xfId="1495" xr:uid="{9C680DD6-5860-418A-AC40-5BFDBC002C00}"/>
    <cellStyle name="Moneda 37 3 2" xfId="4455" xr:uid="{16EAF53F-A2CA-4DA6-9638-F1807764BAF2}"/>
    <cellStyle name="Moneda 37 3 2 2" xfId="12023" xr:uid="{CF2E3B1D-54E5-4F69-AE72-1F3A9BB2B1B9}"/>
    <cellStyle name="Moneda 37 3 3" xfId="9103" xr:uid="{47652F5F-6E61-48AB-B126-E3B3B606833E}"/>
    <cellStyle name="Moneda 37 4" xfId="1874" xr:uid="{9CC9BFF4-70E6-4C39-8E10-BFE618620F68}"/>
    <cellStyle name="Moneda 37 4 2" xfId="4833" xr:uid="{8A450919-AEF1-44AA-B1AD-F3948799CC77}"/>
    <cellStyle name="Moneda 37 4 2 2" xfId="12401" xr:uid="{B1D12430-2980-4E32-92BD-9DE396A3F058}"/>
    <cellStyle name="Moneda 37 4 3" xfId="9481" xr:uid="{D14F3F73-A917-4DA7-B891-E1CFE9D51BC7}"/>
    <cellStyle name="Moneda 37 5" xfId="3560" xr:uid="{0C5B855F-A14C-4D1B-AEA1-9F2211C50DCA}"/>
    <cellStyle name="Moneda 37 5 2" xfId="11128" xr:uid="{F1CE89A4-BFA7-436A-80FE-8621F8065516}"/>
    <cellStyle name="Moneda 37 6" xfId="8208" xr:uid="{9D3641F8-908E-4D1C-9040-43A5CC0E1A92}"/>
    <cellStyle name="Moneda 370" xfId="6734" xr:uid="{06599A7E-9C95-4FEB-8E96-3F6F54911D09}"/>
    <cellStyle name="Moneda 370 2" xfId="14263" xr:uid="{7756D418-EE25-4DE0-960F-312D5E7CE8C9}"/>
    <cellStyle name="Moneda 371" xfId="6725" xr:uid="{3D1AC41B-3470-4FD9-A314-73691B3ADD7A}"/>
    <cellStyle name="Moneda 371 2" xfId="14257" xr:uid="{3EDC49AF-9E30-479A-A9CA-F9D65F3A7A21}"/>
    <cellStyle name="Moneda 372" xfId="6732" xr:uid="{4DDEC5BE-DA26-497E-B7B6-BD7088110948}"/>
    <cellStyle name="Moneda 372 2" xfId="14261" xr:uid="{B951D2CE-1B71-4D68-A935-D44D952D4252}"/>
    <cellStyle name="Moneda 373" xfId="6724" xr:uid="{B214D6DC-2DC5-4C09-9549-DEBC73AF1F4F}"/>
    <cellStyle name="Moneda 373 2" xfId="14256" xr:uid="{24679F42-25AF-476B-9D4E-F29D0CEB3B27}"/>
    <cellStyle name="Moneda 374" xfId="6735" xr:uid="{38FE1882-2D71-4457-A1AC-A86760538AF6}"/>
    <cellStyle name="Moneda 374 2" xfId="14264" xr:uid="{1816014F-EC55-429A-B912-8535EB485462}"/>
    <cellStyle name="Moneda 375" xfId="6752" xr:uid="{01D52320-7897-4EF6-8BE2-7FCBC5ADA890}"/>
    <cellStyle name="Moneda 375 2" xfId="14281" xr:uid="{8CE7BCAD-98CA-4C37-85D9-A5EBE5F265F6}"/>
    <cellStyle name="Moneda 376" xfId="6750" xr:uid="{695FE480-7047-4C49-AF65-8943F37733A7}"/>
    <cellStyle name="Moneda 376 2" xfId="14279" xr:uid="{BB2EA338-0144-48C5-8261-FE1EBC7BD71B}"/>
    <cellStyle name="Moneda 377" xfId="8097" xr:uid="{DB8E7B40-E4D4-4896-B108-8C06E0A317E9}"/>
    <cellStyle name="Moneda 377 2" xfId="15625" xr:uid="{46CE10C4-63F9-4361-A6E5-AB65604A399E}"/>
    <cellStyle name="Moneda 378" xfId="8096" xr:uid="{A745A0B5-15A8-4E2C-8FD0-BCF5580B3DEB}"/>
    <cellStyle name="Moneda 378 2" xfId="15624" xr:uid="{ED7E3500-353F-4675-B0D8-645D8716872E}"/>
    <cellStyle name="Moneda 379" xfId="8100" xr:uid="{0228F121-9A5F-4581-A7D6-B678D00FF2B4}"/>
    <cellStyle name="Moneda 379 2" xfId="15628" xr:uid="{C3B97637-7A78-4AF3-B13B-8CE7B944AB82}"/>
    <cellStyle name="Moneda 38" xfId="298" xr:uid="{95D4028A-B152-4C88-BB36-4315C4B038E2}"/>
    <cellStyle name="Moneda 38 2" xfId="1133" xr:uid="{381E8B57-AD97-480A-8CA0-E225FAAB44DA}"/>
    <cellStyle name="Moneda 38 2 2" xfId="4093" xr:uid="{F225A408-67D6-4430-8512-D0A205D74957}"/>
    <cellStyle name="Moneda 38 2 2 2" xfId="11661" xr:uid="{01BB569E-D728-4D5B-9E01-0529E0A897A2}"/>
    <cellStyle name="Moneda 38 2 3" xfId="8741" xr:uid="{C6578CC4-0B6C-4306-92EC-A64659766BCE}"/>
    <cellStyle name="Moneda 38 3" xfId="1497" xr:uid="{EE6F6103-4917-4968-B0DD-1F1C4029DF96}"/>
    <cellStyle name="Moneda 38 3 2" xfId="4457" xr:uid="{FF2935E9-572F-4D2A-A55A-0384EDC7675F}"/>
    <cellStyle name="Moneda 38 3 2 2" xfId="12025" xr:uid="{1AD69209-E9E4-497A-8C2F-CCA052BC4717}"/>
    <cellStyle name="Moneda 38 3 3" xfId="9105" xr:uid="{0E4AA7E5-ADF6-47F6-8440-0EEAE8CC3B6E}"/>
    <cellStyle name="Moneda 38 4" xfId="1876" xr:uid="{8C2B207F-34B7-4B50-81D8-07E1B849206C}"/>
    <cellStyle name="Moneda 38 4 2" xfId="4835" xr:uid="{D1B6A1BB-2F1B-41CD-9263-2CF2019D6874}"/>
    <cellStyle name="Moneda 38 4 2 2" xfId="12403" xr:uid="{3972058E-184A-4C28-97E9-3F4B32D01042}"/>
    <cellStyle name="Moneda 38 4 3" xfId="9483" xr:uid="{60AC3B77-ABA8-4A4B-A7BC-ABDDA8B90856}"/>
    <cellStyle name="Moneda 38 5" xfId="3562" xr:uid="{47C855A4-086A-4AFC-8550-8271809ACBFF}"/>
    <cellStyle name="Moneda 38 5 2" xfId="11130" xr:uid="{486BB751-AB57-488A-A5AF-E35FD265F9B1}"/>
    <cellStyle name="Moneda 38 6" xfId="8210" xr:uid="{DA73C22D-374C-41F3-A6B7-C33A0373C969}"/>
    <cellStyle name="Moneda 380" xfId="8101" xr:uid="{D205D9AA-C8CA-4A21-973E-30957E0A07E9}"/>
    <cellStyle name="Moneda 380 2" xfId="15629" xr:uid="{EF54C40C-F46B-4658-AD9D-820EA20E511D}"/>
    <cellStyle name="Moneda 381" xfId="8099" xr:uid="{26891CC9-9090-4D1A-92E1-E371519B1614}"/>
    <cellStyle name="Moneda 381 2" xfId="15627" xr:uid="{07469325-5B26-40EB-A62C-E377ED9F77B8}"/>
    <cellStyle name="Moneda 382" xfId="6743" xr:uid="{5E618BED-DF36-4EEF-8851-705E9ADF190F}"/>
    <cellStyle name="Moneda 382 2" xfId="14272" xr:uid="{C9D17F1B-24A4-4582-9113-36F66752EEC7}"/>
    <cellStyle name="Moneda 383" xfId="8105" xr:uid="{9CDAD5B1-86DF-4795-9EAC-498184495A8E}"/>
    <cellStyle name="Moneda 383 2" xfId="15630" xr:uid="{00600E9C-7EB5-45EB-817E-81AEA8BB3F60}"/>
    <cellStyle name="Moneda 384" xfId="8098" xr:uid="{558C35A8-A694-4936-8FA5-38794B505B4D}"/>
    <cellStyle name="Moneda 384 2" xfId="15626" xr:uid="{5FDEB72C-D707-4B80-8FD7-E6465AFDBB91}"/>
    <cellStyle name="Moneda 385" xfId="156" xr:uid="{EA1DB37A-E34B-4535-BFED-B8CB5967381D}"/>
    <cellStyle name="Moneda 386" xfId="8116" xr:uid="{4CE5398B-8A6F-4CB3-B70A-83DD991A80F0}"/>
    <cellStyle name="Moneda 387" xfId="152" xr:uid="{C5E3E8C9-262E-480B-AB05-AE5618DD7232}"/>
    <cellStyle name="Moneda 388" xfId="15638" xr:uid="{F90080A7-1952-4A2E-A0FA-296CC030CA09}"/>
    <cellStyle name="Moneda 389" xfId="15639" xr:uid="{239A5FC5-2132-441C-82D0-2C42C8351214}"/>
    <cellStyle name="Moneda 39" xfId="301" xr:uid="{BBCF8B1D-FBE3-4EEA-AD5E-1CC17F724C7D}"/>
    <cellStyle name="Moneda 39 2" xfId="1135" xr:uid="{DD3005CC-AA25-4E32-B8B9-DD29FB627188}"/>
    <cellStyle name="Moneda 39 2 2" xfId="4095" xr:uid="{4AEF241E-85C2-457D-82F5-4D34462C0883}"/>
    <cellStyle name="Moneda 39 2 2 2" xfId="11663" xr:uid="{188B8393-8E00-4E12-80EE-2A0196318C3A}"/>
    <cellStyle name="Moneda 39 2 3" xfId="8743" xr:uid="{BD097329-047F-4658-BD0D-AB87BD78E15B}"/>
    <cellStyle name="Moneda 39 3" xfId="1499" xr:uid="{14A630C4-2DF6-4D0E-A78F-6067781070E1}"/>
    <cellStyle name="Moneda 39 3 2" xfId="4459" xr:uid="{6F4B13F9-259C-4E5F-B88E-9F89E4475437}"/>
    <cellStyle name="Moneda 39 3 2 2" xfId="12027" xr:uid="{C6046962-18D9-429D-8F12-ED3999A1962C}"/>
    <cellStyle name="Moneda 39 3 3" xfId="9107" xr:uid="{81257FB4-AF1A-4AD6-8D97-53529302C4C1}"/>
    <cellStyle name="Moneda 39 4" xfId="1878" xr:uid="{6B870A3A-5339-4ABC-8CF5-8531B0299D50}"/>
    <cellStyle name="Moneda 39 4 2" xfId="4837" xr:uid="{1AED58F2-1B06-4A14-992D-20641CEAE06C}"/>
    <cellStyle name="Moneda 39 4 2 2" xfId="12405" xr:uid="{D259E0F4-B655-4246-B8DD-678D10613CA1}"/>
    <cellStyle name="Moneda 39 4 3" xfId="9485" xr:uid="{0688957D-48AD-4D59-9B69-04D39830BE58}"/>
    <cellStyle name="Moneda 39 5" xfId="3564" xr:uid="{DB5FCC7E-9EF4-48B8-BBE7-3E569D58441D}"/>
    <cellStyle name="Moneda 39 5 2" xfId="11132" xr:uid="{8097975E-8295-46B9-8A72-18A00530C727}"/>
    <cellStyle name="Moneda 39 6" xfId="8212" xr:uid="{298C7372-1D2E-4155-A4D2-4DD385397F3C}"/>
    <cellStyle name="Moneda 4" xfId="28" xr:uid="{00000000-0005-0000-0000-00005E000000}"/>
    <cellStyle name="Moneda 4 10" xfId="3191" xr:uid="{B165D05B-FBDD-41DA-B302-31FB52A7E1FD}"/>
    <cellStyle name="Moneda 4 10 2" xfId="6195" xr:uid="{113216C7-20EF-4725-A756-872FF70D009C}"/>
    <cellStyle name="Moneda 4 10 2 2" xfId="13756" xr:uid="{CB68325B-8E4C-44A9-B365-CF63D92D7510}"/>
    <cellStyle name="Moneda 4 10 3" xfId="7599" xr:uid="{53D13AA7-7DE7-4203-9810-1BD2AD31DC39}"/>
    <cellStyle name="Moneda 4 10 3 2" xfId="15128" xr:uid="{05D5FE57-DF80-4915-A1D6-02CA8D1B3351}"/>
    <cellStyle name="Moneda 4 10 4" xfId="10773" xr:uid="{FC4CD4EB-A524-4AF0-91BC-DA3E91758B58}"/>
    <cellStyle name="Moneda 4 11" xfId="3319" xr:uid="{21466A45-6AB4-4F52-A432-510A7751EC70}"/>
    <cellStyle name="Moneda 4 11 2" xfId="6321" xr:uid="{D01E6791-A646-4D89-AD36-825A89FCBD38}"/>
    <cellStyle name="Moneda 4 11 2 2" xfId="13882" xr:uid="{C429783E-A49D-4378-A9BB-18C31747953E}"/>
    <cellStyle name="Moneda 4 11 3" xfId="7725" xr:uid="{A71502CD-33CB-408C-9457-054C4A4C1A31}"/>
    <cellStyle name="Moneda 4 11 3 2" xfId="15254" xr:uid="{FEC75587-FB88-4BFB-ABC6-3FFCC5CB250A}"/>
    <cellStyle name="Moneda 4 11 4" xfId="10899" xr:uid="{595E39EE-BF47-41DE-B5A0-F7DE276179BD}"/>
    <cellStyle name="Moneda 4 12" xfId="2311" xr:uid="{AD34E289-E1AE-49C2-BE1F-6DDABDA82DB9}"/>
    <cellStyle name="Moneda 4 12 2" xfId="6455" xr:uid="{F109B890-0133-4294-BEB2-9739946D6C45}"/>
    <cellStyle name="Moneda 4 12 2 2" xfId="14013" xr:uid="{EB949145-68AE-4C8F-A83F-085249ECA080}"/>
    <cellStyle name="Moneda 4 12 3" xfId="7856" xr:uid="{035BF7BA-4E12-4C0C-A8F7-161127C11522}"/>
    <cellStyle name="Moneda 4 12 3 2" xfId="15385" xr:uid="{30F9097B-0E06-4C53-B9A6-56F6B5988B0C}"/>
    <cellStyle name="Moneda 4 12 4" xfId="9913" xr:uid="{AAA69CDF-791C-4075-BABE-8519B04C4EC4}"/>
    <cellStyle name="Moneda 4 13" xfId="3470" xr:uid="{A82AFC12-9C92-4435-836E-7097395E678C}"/>
    <cellStyle name="Moneda 4 13 2" xfId="11038" xr:uid="{FCEE3976-9F4F-4B27-9363-9052F10BE742}"/>
    <cellStyle name="Moneda 4 14" xfId="5334" xr:uid="{7333557C-9120-4E16-A60F-3750DDC79D24}"/>
    <cellStyle name="Moneda 4 14 2" xfId="12895" xr:uid="{4B8D4F4A-63B0-4100-9779-D7E8EBAF7E69}"/>
    <cellStyle name="Moneda 4 15" xfId="6737" xr:uid="{EFAE7D9B-9387-4DE8-8EF8-716FC255C3E7}"/>
    <cellStyle name="Moneda 4 15 2" xfId="14266" xr:uid="{678DF41D-D2E9-406F-BC3B-D16E8C5D6F4D}"/>
    <cellStyle name="Moneda 4 16" xfId="160" xr:uid="{EFC78455-B9E4-4AD5-AE4D-AA4871147246}"/>
    <cellStyle name="Moneda 4 17" xfId="8118" xr:uid="{1A43FACA-5317-403E-8B18-93B993D662B5}"/>
    <cellStyle name="Moneda 4 18" xfId="153" xr:uid="{01425A2B-38A7-4B46-A573-A9DC93EA82DD}"/>
    <cellStyle name="Moneda 4 2" xfId="202" xr:uid="{C4CBF19B-3483-4CB1-BC7D-4812649C2DF5}"/>
    <cellStyle name="Moneda 4 2 10" xfId="3348" xr:uid="{CA8D5C5D-FC03-44CA-8B11-6F4BB53BA6D3}"/>
    <cellStyle name="Moneda 4 2 10 2" xfId="6350" xr:uid="{D8349C7A-B72C-47BF-8EF7-202D0C692ADF}"/>
    <cellStyle name="Moneda 4 2 10 2 2" xfId="13911" xr:uid="{33FEEA24-EE85-4721-9F57-58C2977FBB27}"/>
    <cellStyle name="Moneda 4 2 10 3" xfId="7754" xr:uid="{2473CEF7-C597-44B5-A901-67FAC0709E30}"/>
    <cellStyle name="Moneda 4 2 10 3 2" xfId="15283" xr:uid="{F0280EB2-1CD3-4159-81A5-879BE66EB1BA}"/>
    <cellStyle name="Moneda 4 2 10 4" xfId="10928" xr:uid="{D709B551-3DFE-40C2-95F6-932A26EB1DA4}"/>
    <cellStyle name="Moneda 4 2 11" xfId="2348" xr:uid="{2FAE9EDC-6A16-4F9B-A876-267E0CAC8323}"/>
    <cellStyle name="Moneda 4 2 11 2" xfId="6486" xr:uid="{A84C0082-9A54-4DCE-9E7A-22BB7B140318}"/>
    <cellStyle name="Moneda 4 2 11 2 2" xfId="14042" xr:uid="{89EB1816-6952-469E-BB6E-3704705582FC}"/>
    <cellStyle name="Moneda 4 2 11 3" xfId="7885" xr:uid="{952F7048-5B98-47F4-96B7-E3B82057C40F}"/>
    <cellStyle name="Moneda 4 2 11 3 2" xfId="15414" xr:uid="{73C042F7-8E22-4782-9670-609C1D7D9A9E}"/>
    <cellStyle name="Moneda 4 2 11 4" xfId="9943" xr:uid="{8F6E6AE6-AB87-43AC-9184-6CA64039369B}"/>
    <cellStyle name="Moneda 4 2 12" xfId="3500" xr:uid="{B586B54F-2DD6-4B32-956D-06F1FCCACC50}"/>
    <cellStyle name="Moneda 4 2 12 2" xfId="11068" xr:uid="{8D805569-C068-4F8D-908B-838272D535ED}"/>
    <cellStyle name="Moneda 4 2 13" xfId="5365" xr:uid="{2CA66685-5995-4EB2-A445-2FA014C16A20}"/>
    <cellStyle name="Moneda 4 2 13 2" xfId="12926" xr:uid="{27A451B9-44B4-4E7E-9DB2-B10D25A005C1}"/>
    <cellStyle name="Moneda 4 2 14" xfId="6769" xr:uid="{7C87B8C3-3B7E-4E08-AEDC-6BA7C4F59400}"/>
    <cellStyle name="Moneda 4 2 14 2" xfId="14298" xr:uid="{44FFFBE7-2999-4296-A4EE-04D2166EDA52}"/>
    <cellStyle name="Moneda 4 2 15" xfId="8148" xr:uid="{CE3B61A4-FAB4-400C-963E-9F5104B87459}"/>
    <cellStyle name="Moneda 4 2 2" xfId="2413" xr:uid="{43B6182D-670F-4A9A-BDA6-2C0326824446}"/>
    <cellStyle name="Moneda 4 2 2 10" xfId="6544" xr:uid="{6E402827-60F4-48C1-AA95-32CEFF6B9206}"/>
    <cellStyle name="Moneda 4 2 2 10 2" xfId="7943" xr:uid="{33C8284A-F014-4382-BD43-72DE9B99121C}"/>
    <cellStyle name="Moneda 4 2 2 10 2 2" xfId="15472" xr:uid="{E2464E4B-7E9F-49A1-BC92-F01B5DA76C46}"/>
    <cellStyle name="Moneda 4 2 2 10 3" xfId="14100" xr:uid="{526E4028-93FE-41EE-BD34-958101A95A54}"/>
    <cellStyle name="Moneda 4 2 2 11" xfId="5423" xr:uid="{F2EE9234-18CE-41F3-ABF8-8DE49E286E94}"/>
    <cellStyle name="Moneda 4 2 2 11 2" xfId="12984" xr:uid="{A8785530-83AA-4A64-81AC-50714C1C039C}"/>
    <cellStyle name="Moneda 4 2 2 12" xfId="6827" xr:uid="{0E325173-304E-47BD-9FDB-B55FA5FB918F}"/>
    <cellStyle name="Moneda 4 2 2 12 2" xfId="14356" xr:uid="{F545D890-24D6-42D2-BB7B-9910E82F477B}"/>
    <cellStyle name="Moneda 4 2 2 13" xfId="10001" xr:uid="{429A6C48-71CC-40CE-BB78-5723215760EB}"/>
    <cellStyle name="Moneda 4 2 2 2" xfId="2537" xr:uid="{44464F53-D70B-43C0-8605-E90C31F2A8BD}"/>
    <cellStyle name="Moneda 4 2 2 2 2" xfId="6679" xr:uid="{1395B753-2B3E-4112-9E5F-D6AD0E169ABE}"/>
    <cellStyle name="Moneda 4 2 2 2 2 2" xfId="8065" xr:uid="{A1BC4D85-71A2-44FC-A526-2F84B67ADCA3}"/>
    <cellStyle name="Moneda 4 2 2 2 2 2 2" xfId="15594" xr:uid="{2F820493-BAC5-4A04-ADF4-CD6B0EB9C4D5}"/>
    <cellStyle name="Moneda 4 2 2 2 2 3" xfId="14222" xr:uid="{7A55A181-B2FD-4174-9923-02FA8C2A5610}"/>
    <cellStyle name="Moneda 4 2 2 2 3" xfId="5543" xr:uid="{6BD116FA-D10E-43F7-89A9-5E6EDB09D6A1}"/>
    <cellStyle name="Moneda 4 2 2 2 3 2" xfId="13104" xr:uid="{25276BA4-C12D-455C-B308-A58F399B6CE7}"/>
    <cellStyle name="Moneda 4 2 2 2 4" xfId="6947" xr:uid="{91C93D68-1C17-4A1C-A0F6-537617445048}"/>
    <cellStyle name="Moneda 4 2 2 2 4 2" xfId="14476" xr:uid="{83E08259-2866-44FC-A75B-B80627E1018D}"/>
    <cellStyle name="Moneda 4 2 2 2 5" xfId="10121" xr:uid="{C1BCEE20-5982-4CE7-A918-D5E6162332ED}"/>
    <cellStyle name="Moneda 4 2 2 3" xfId="2658" xr:uid="{B07C0517-6D25-47C4-AC24-C46DDFDD01B4}"/>
    <cellStyle name="Moneda 4 2 2 3 2" xfId="5663" xr:uid="{AFB0960A-C2D4-4DC8-AA57-CC1878EACFB3}"/>
    <cellStyle name="Moneda 4 2 2 3 2 2" xfId="13224" xr:uid="{31DEB7F7-D250-4BFD-8C24-56E3C1EEA17C}"/>
    <cellStyle name="Moneda 4 2 2 3 3" xfId="7067" xr:uid="{C56EFE87-BC16-436C-92F8-6ADDA5249E0F}"/>
    <cellStyle name="Moneda 4 2 2 3 3 2" xfId="14596" xr:uid="{FBE4530E-BB6B-4FBE-AC40-183CE1919009}"/>
    <cellStyle name="Moneda 4 2 2 3 4" xfId="10241" xr:uid="{7D3D0F2D-733F-447C-BAC4-AE99593B12DF}"/>
    <cellStyle name="Moneda 4 2 2 4" xfId="2780" xr:uid="{86D16320-1B14-42BB-B57E-46265FCE6FD3}"/>
    <cellStyle name="Moneda 4 2 2 4 2" xfId="5785" xr:uid="{F86C78F5-8138-411B-9349-494965545683}"/>
    <cellStyle name="Moneda 4 2 2 4 2 2" xfId="13346" xr:uid="{8B0CC032-B67E-43C6-8FC8-03962E1F2E61}"/>
    <cellStyle name="Moneda 4 2 2 4 3" xfId="7189" xr:uid="{D22EDEF5-815B-4982-8CAE-130E33CC0D6B}"/>
    <cellStyle name="Moneda 4 2 2 4 3 2" xfId="14718" xr:uid="{224E5C75-C331-433E-B3C8-252E32B9C7B1}"/>
    <cellStyle name="Moneda 4 2 2 4 4" xfId="10363" xr:uid="{381992CD-C0EA-4639-9D28-A493808DE883}"/>
    <cellStyle name="Moneda 4 2 2 5" xfId="2905" xr:uid="{87B63592-93C4-427B-85AF-B1EEA25EF835}"/>
    <cellStyle name="Moneda 4 2 2 5 2" xfId="5909" xr:uid="{93400C98-6D79-4E0F-8365-4DA3CFDB133D}"/>
    <cellStyle name="Moneda 4 2 2 5 2 2" xfId="13470" xr:uid="{705EDE02-D763-4ADC-A974-1F5653FF3939}"/>
    <cellStyle name="Moneda 4 2 2 5 3" xfId="7313" xr:uid="{A23558AD-5199-40C0-A9CE-3BD96150BA68}"/>
    <cellStyle name="Moneda 4 2 2 5 3 2" xfId="14842" xr:uid="{643CD090-1BD7-40E6-8328-F9C65B4DA4E7}"/>
    <cellStyle name="Moneda 4 2 2 5 4" xfId="10487" xr:uid="{1B858EF2-DD23-4D04-AFF7-0BE607340E2C}"/>
    <cellStyle name="Moneda 4 2 2 6" xfId="3029" xr:uid="{91DED562-6B36-490F-8816-C70C6A37455B}"/>
    <cellStyle name="Moneda 4 2 2 6 2" xfId="6033" xr:uid="{60F5E7D8-17E6-40AB-BF2E-FB44ECB9F750}"/>
    <cellStyle name="Moneda 4 2 2 6 2 2" xfId="13594" xr:uid="{5FB0695C-D908-4688-883A-E2C6AB42FC41}"/>
    <cellStyle name="Moneda 4 2 2 6 3" xfId="7437" xr:uid="{754D7709-F968-4DCA-8452-74E45E6C88B3}"/>
    <cellStyle name="Moneda 4 2 2 6 3 2" xfId="14966" xr:uid="{6E3347D2-EE41-4434-9AA5-DBC5ACC6ED4B}"/>
    <cellStyle name="Moneda 4 2 2 6 4" xfId="10611" xr:uid="{69A68DE6-E787-421A-B403-13748CF58450}"/>
    <cellStyle name="Moneda 4 2 2 7" xfId="3153" xr:uid="{E6E62C2E-30E6-43B0-A2BB-675E80458B92}"/>
    <cellStyle name="Moneda 4 2 2 7 2" xfId="6157" xr:uid="{B6618611-800E-4A42-8E28-45A168C5F6FA}"/>
    <cellStyle name="Moneda 4 2 2 7 2 2" xfId="13718" xr:uid="{C9253BC7-FE25-4311-9F7F-3B254CF34409}"/>
    <cellStyle name="Moneda 4 2 2 7 3" xfId="7561" xr:uid="{65DD269C-6EDA-4585-9168-D32902835115}"/>
    <cellStyle name="Moneda 4 2 2 7 3 2" xfId="15090" xr:uid="{813B7A73-D694-480F-A050-E49008BCA126}"/>
    <cellStyle name="Moneda 4 2 2 7 4" xfId="10735" xr:uid="{480986EB-3BC6-4BBE-A3B9-5377512C9FCF}"/>
    <cellStyle name="Moneda 4 2 2 8" xfId="3278" xr:uid="{F2E2770D-0C6B-4668-BDC2-F56C152E1A1F}"/>
    <cellStyle name="Moneda 4 2 2 8 2" xfId="6282" xr:uid="{79197EB4-DA5E-4903-B746-F5468AF72DD1}"/>
    <cellStyle name="Moneda 4 2 2 8 2 2" xfId="13843" xr:uid="{A27388BA-755E-4FC3-B1D2-DD0ABC4D85C0}"/>
    <cellStyle name="Moneda 4 2 2 8 3" xfId="7686" xr:uid="{63B0B5BF-F423-4E0D-935E-75FD74A2F201}"/>
    <cellStyle name="Moneda 4 2 2 8 3 2" xfId="15215" xr:uid="{AFD221ED-F134-4A65-A1B8-DC0F01E71641}"/>
    <cellStyle name="Moneda 4 2 2 8 4" xfId="10860" xr:uid="{AD064F68-F8E2-4051-BD49-15E5BD936729}"/>
    <cellStyle name="Moneda 4 2 2 9" xfId="3406" xr:uid="{10D22753-5F6E-4BCD-B90B-02E00B4B8102}"/>
    <cellStyle name="Moneda 4 2 2 9 2" xfId="6408" xr:uid="{DB34AC52-97C9-4F10-BCEC-3ACE46F6174D}"/>
    <cellStyle name="Moneda 4 2 2 9 2 2" xfId="13969" xr:uid="{82467E0B-FF4B-4B69-9D21-A62FCAA4147B}"/>
    <cellStyle name="Moneda 4 2 2 9 3" xfId="7812" xr:uid="{210B2C33-F916-4AA3-B349-89EE30EDEEDB}"/>
    <cellStyle name="Moneda 4 2 2 9 3 2" xfId="15341" xr:uid="{DA168CF3-311C-4005-8827-7DC8FD8B8C5E}"/>
    <cellStyle name="Moneda 4 2 2 9 4" xfId="10986" xr:uid="{D5D2D236-AFDF-4CCB-A280-92089B99451E}"/>
    <cellStyle name="Moneda 4 2 3" xfId="2479" xr:uid="{ED5B8092-5466-4706-82EC-F81FC44AEFF9}"/>
    <cellStyle name="Moneda 4 2 3 2" xfId="6621" xr:uid="{D2CD450B-C5CB-4259-87BA-99F7CC922DCB}"/>
    <cellStyle name="Moneda 4 2 3 2 2" xfId="8007" xr:uid="{CEF563D3-0D25-4FD4-A42E-B2CFEC151573}"/>
    <cellStyle name="Moneda 4 2 3 2 2 2" xfId="15536" xr:uid="{2179BE27-A1AD-4309-8BAF-9B6E7DFE6518}"/>
    <cellStyle name="Moneda 4 2 3 2 3" xfId="14164" xr:uid="{1E2E3866-48E0-4993-BFE4-712F41681C26}"/>
    <cellStyle name="Moneda 4 2 3 3" xfId="5485" xr:uid="{3B380827-816C-4902-AA35-658EFA55E990}"/>
    <cellStyle name="Moneda 4 2 3 3 2" xfId="13046" xr:uid="{3825B264-94AC-4A7B-8AF5-DBD048077CC9}"/>
    <cellStyle name="Moneda 4 2 3 4" xfId="6889" xr:uid="{A1628533-A4AE-48CF-AB32-3DCA32E5DC3B}"/>
    <cellStyle name="Moneda 4 2 3 4 2" xfId="14418" xr:uid="{57C1F254-4BEE-49CE-ADAB-DF0F40B43500}"/>
    <cellStyle name="Moneda 4 2 3 5" xfId="10063" xr:uid="{78764A4B-0590-403C-B2D6-4743D1649F2A}"/>
    <cellStyle name="Moneda 4 2 4" xfId="2600" xr:uid="{BD9A1FD4-3E8A-488B-9E71-689F7AE862AD}"/>
    <cellStyle name="Moneda 4 2 4 2" xfId="5605" xr:uid="{C120191B-E346-4079-AD74-34F701C67C36}"/>
    <cellStyle name="Moneda 4 2 4 2 2" xfId="13166" xr:uid="{9A25D388-B9C9-43B6-AB42-5EF427A90D5F}"/>
    <cellStyle name="Moneda 4 2 4 3" xfId="7009" xr:uid="{CB876909-EADA-4839-95BF-ED38C47C0832}"/>
    <cellStyle name="Moneda 4 2 4 3 2" xfId="14538" xr:uid="{920356D4-9B25-41AC-8063-E537A4D8340D}"/>
    <cellStyle name="Moneda 4 2 4 4" xfId="10183" xr:uid="{07F73B01-31ED-47A2-B4E2-8D97D4F71330}"/>
    <cellStyle name="Moneda 4 2 5" xfId="2722" xr:uid="{BD209E9B-D9A2-4ADF-BD26-E609A9CADE1F}"/>
    <cellStyle name="Moneda 4 2 5 2" xfId="5727" xr:uid="{AA8D1593-8EAA-4AC1-8890-8AB54598DE2B}"/>
    <cellStyle name="Moneda 4 2 5 2 2" xfId="13288" xr:uid="{A71EE046-6E9D-42CD-A19E-92ED4FBF7F60}"/>
    <cellStyle name="Moneda 4 2 5 3" xfId="7131" xr:uid="{7CD55587-AEC4-4CAF-8598-26CC90AE902B}"/>
    <cellStyle name="Moneda 4 2 5 3 2" xfId="14660" xr:uid="{F3F52BA3-5DDC-46BE-96F4-7A5903B4A6F9}"/>
    <cellStyle name="Moneda 4 2 5 4" xfId="10305" xr:uid="{5336BC84-D1F0-42FC-9395-ACB3267F1B77}"/>
    <cellStyle name="Moneda 4 2 6" xfId="2847" xr:uid="{A7589D45-494C-44EA-94B7-77554A185A68}"/>
    <cellStyle name="Moneda 4 2 6 2" xfId="5851" xr:uid="{8E46507D-06E3-491D-B663-F3D942D87755}"/>
    <cellStyle name="Moneda 4 2 6 2 2" xfId="13412" xr:uid="{FD8638CF-D9B6-4695-9500-51D2AB907030}"/>
    <cellStyle name="Moneda 4 2 6 3" xfId="7255" xr:uid="{EC3CB62C-0557-4EC4-BB67-F08B83C27883}"/>
    <cellStyle name="Moneda 4 2 6 3 2" xfId="14784" xr:uid="{CE694FFB-4A76-48F0-A6E6-E0FA83FF424D}"/>
    <cellStyle name="Moneda 4 2 6 4" xfId="10429" xr:uid="{2B5E5EE6-9F5A-4C2D-A7E3-C41398295170}"/>
    <cellStyle name="Moneda 4 2 7" xfId="2971" xr:uid="{CC479B51-F13E-4A9C-8558-4CEE37A3FE64}"/>
    <cellStyle name="Moneda 4 2 7 2" xfId="5975" xr:uid="{E5E77AEC-7FF7-4D8C-A648-11FBFD06916C}"/>
    <cellStyle name="Moneda 4 2 7 2 2" xfId="13536" xr:uid="{01FE435E-C9E2-4EF3-940F-CA740CC84D47}"/>
    <cellStyle name="Moneda 4 2 7 3" xfId="7379" xr:uid="{1E705FAF-CA90-4D0A-AF3B-D995AAF18893}"/>
    <cellStyle name="Moneda 4 2 7 3 2" xfId="14908" xr:uid="{C9DC7B87-D466-4ADA-9AAD-7EE47F93AA8F}"/>
    <cellStyle name="Moneda 4 2 7 4" xfId="10553" xr:uid="{ED81FE54-4359-49D2-BA38-8887CB7D427D}"/>
    <cellStyle name="Moneda 4 2 8" xfId="3095" xr:uid="{E6A2415D-AF67-4C10-9AEE-B4201C4D8C1E}"/>
    <cellStyle name="Moneda 4 2 8 2" xfId="6099" xr:uid="{618314D2-6A07-446D-BCB0-515CEFCDC67D}"/>
    <cellStyle name="Moneda 4 2 8 2 2" xfId="13660" xr:uid="{87E67E56-31D3-4B55-8E8B-044B2EBF238F}"/>
    <cellStyle name="Moneda 4 2 8 3" xfId="7503" xr:uid="{DBD8533D-734C-48FE-9481-0C624FFE52CF}"/>
    <cellStyle name="Moneda 4 2 8 3 2" xfId="15032" xr:uid="{F90CC636-2395-449E-96B4-A5B484F193FD}"/>
    <cellStyle name="Moneda 4 2 8 4" xfId="10677" xr:uid="{740D1332-0614-4A90-ABDB-4613446085C8}"/>
    <cellStyle name="Moneda 4 2 9" xfId="3220" xr:uid="{794282BC-D616-43EA-80CB-84E888624D1F}"/>
    <cellStyle name="Moneda 4 2 9 2" xfId="6224" xr:uid="{6803E385-1CFA-4904-AF3A-C4EEB86FF3F2}"/>
    <cellStyle name="Moneda 4 2 9 2 2" xfId="13785" xr:uid="{7F4648A3-08D2-4AAA-8661-7DCEB755A62A}"/>
    <cellStyle name="Moneda 4 2 9 3" xfId="7628" xr:uid="{E63E1E31-8A70-4120-8835-EF0D3225FA72}"/>
    <cellStyle name="Moneda 4 2 9 3 2" xfId="15157" xr:uid="{EB2C5B50-05ED-4859-9831-25FA711F3A0A}"/>
    <cellStyle name="Moneda 4 2 9 4" xfId="10802" xr:uid="{CABC6273-BA4C-4417-B315-5C4CDE1ABA3E}"/>
    <cellStyle name="Moneda 4 3" xfId="1065" xr:uid="{F673442C-6937-4DAA-A97F-7056043DBAD5}"/>
    <cellStyle name="Moneda 4 3 10" xfId="2384" xr:uid="{2F9E2DA7-0B01-487A-925D-8C47ACDDABC2}"/>
    <cellStyle name="Moneda 4 3 10 2" xfId="6515" xr:uid="{2194C789-77FA-4519-97C8-5C3F31967902}"/>
    <cellStyle name="Moneda 4 3 10 2 2" xfId="14071" xr:uid="{AD3136B2-3C6B-4684-A622-59DBE2235746}"/>
    <cellStyle name="Moneda 4 3 10 3" xfId="7914" xr:uid="{0E9DE459-4956-4C68-B753-92F888A259EF}"/>
    <cellStyle name="Moneda 4 3 10 3 2" xfId="15443" xr:uid="{88273C43-5E90-4FB3-B527-F5198D533C3D}"/>
    <cellStyle name="Moneda 4 3 10 4" xfId="9972" xr:uid="{DFAD2761-5842-4295-8483-82296C3C6723}"/>
    <cellStyle name="Moneda 4 3 11" xfId="4025" xr:uid="{7BDE7EB8-BB1D-4DA2-9D10-B8F22637559E}"/>
    <cellStyle name="Moneda 4 3 11 2" xfId="11593" xr:uid="{272C30A2-D2E3-44B0-984F-2E9B0CF81275}"/>
    <cellStyle name="Moneda 4 3 12" xfId="5394" xr:uid="{15239108-ADAF-45AB-A998-8AE3691B7F63}"/>
    <cellStyle name="Moneda 4 3 12 2" xfId="12955" xr:uid="{CA85126A-332B-4AD7-8A06-D729DEF1E6EB}"/>
    <cellStyle name="Moneda 4 3 13" xfId="6798" xr:uid="{31A0CBF9-C997-4200-B9E8-EE51D83E2883}"/>
    <cellStyle name="Moneda 4 3 13 2" xfId="14327" xr:uid="{31731F2E-3AAF-4A5F-8C6C-4BA2467EAC85}"/>
    <cellStyle name="Moneda 4 3 14" xfId="8673" xr:uid="{FB1F0787-20E9-4901-A671-98DC92A5F063}"/>
    <cellStyle name="Moneda 4 3 2" xfId="2508" xr:uid="{7FC7E60A-5195-4093-876C-3A35A7E46C64}"/>
    <cellStyle name="Moneda 4 3 2 2" xfId="6650" xr:uid="{8AD7CAE9-2AE7-4A5F-8979-10EF1B0EA404}"/>
    <cellStyle name="Moneda 4 3 2 2 2" xfId="8036" xr:uid="{C936AB6A-C7AC-47FD-9389-33BBA32D5863}"/>
    <cellStyle name="Moneda 4 3 2 2 2 2" xfId="15565" xr:uid="{5EEA3446-E20E-4DE2-8E71-1AD1CCBDD0EC}"/>
    <cellStyle name="Moneda 4 3 2 2 3" xfId="14193" xr:uid="{773656F7-63C9-4763-B8A8-29C9DAB7113E}"/>
    <cellStyle name="Moneda 4 3 2 3" xfId="5514" xr:uid="{8FC3550E-CF59-4E44-8EC2-9520C3882D29}"/>
    <cellStyle name="Moneda 4 3 2 3 2" xfId="13075" xr:uid="{9C08483A-E7EB-4DF1-9A56-3A4C903FA153}"/>
    <cellStyle name="Moneda 4 3 2 4" xfId="6918" xr:uid="{4C94169D-B68E-458A-ADDA-559D161C7301}"/>
    <cellStyle name="Moneda 4 3 2 4 2" xfId="14447" xr:uid="{2B9A99E2-3971-47D7-A58B-B7C14B0603E7}"/>
    <cellStyle name="Moneda 4 3 2 5" xfId="10092" xr:uid="{3DC82BE0-8079-4DA4-9F86-7EA5F6553C02}"/>
    <cellStyle name="Moneda 4 3 3" xfId="2629" xr:uid="{1DAA7BBC-2894-49E3-B85F-FD5DD1DE0433}"/>
    <cellStyle name="Moneda 4 3 3 2" xfId="5634" xr:uid="{1451D83A-2260-4049-8BAA-C74D738F1A09}"/>
    <cellStyle name="Moneda 4 3 3 2 2" xfId="13195" xr:uid="{0B1D235A-D002-41C0-ACF8-1D9DC92552DD}"/>
    <cellStyle name="Moneda 4 3 3 3" xfId="7038" xr:uid="{674BB012-67C2-4AEE-9E80-F6AC651511A1}"/>
    <cellStyle name="Moneda 4 3 3 3 2" xfId="14567" xr:uid="{904CDCC8-7883-42C2-A791-E4ADF51DDD8D}"/>
    <cellStyle name="Moneda 4 3 3 4" xfId="10212" xr:uid="{F61C3BB7-62DE-4101-90E9-5B028538DE88}"/>
    <cellStyle name="Moneda 4 3 4" xfId="2751" xr:uid="{5862739A-3CCC-4481-BE26-70F0458AF8C4}"/>
    <cellStyle name="Moneda 4 3 4 2" xfId="5756" xr:uid="{17B957FE-749E-49BD-B6DE-33A4D9A250C4}"/>
    <cellStyle name="Moneda 4 3 4 2 2" xfId="13317" xr:uid="{245C457F-ACBD-4971-AF3B-4D078701B195}"/>
    <cellStyle name="Moneda 4 3 4 3" xfId="7160" xr:uid="{502FE7A2-62D2-409D-9D57-4E6B2AE7BBBC}"/>
    <cellStyle name="Moneda 4 3 4 3 2" xfId="14689" xr:uid="{7B72AADF-BC83-4009-B073-904CD66B3A67}"/>
    <cellStyle name="Moneda 4 3 4 4" xfId="10334" xr:uid="{189C1CEB-A9D0-4CBA-9C33-03C2013A2609}"/>
    <cellStyle name="Moneda 4 3 5" xfId="2876" xr:uid="{06791657-DF11-4420-8072-7FC2ED3F476E}"/>
    <cellStyle name="Moneda 4 3 5 2" xfId="5880" xr:uid="{77CCF65A-44BC-4BF9-9360-EA0AF254F279}"/>
    <cellStyle name="Moneda 4 3 5 2 2" xfId="13441" xr:uid="{8A105362-C613-4182-82BD-E7856B45E150}"/>
    <cellStyle name="Moneda 4 3 5 3" xfId="7284" xr:uid="{8A52C5CD-DC21-4421-93E6-B04D807E873F}"/>
    <cellStyle name="Moneda 4 3 5 3 2" xfId="14813" xr:uid="{6014E6AB-AEB8-4603-8A17-C8EC15A74DFC}"/>
    <cellStyle name="Moneda 4 3 5 4" xfId="10458" xr:uid="{F5EBB740-C920-46C1-AED8-EB66AF87814E}"/>
    <cellStyle name="Moneda 4 3 6" xfId="3000" xr:uid="{9C6A64AA-834A-487A-A2D9-2EE37947568C}"/>
    <cellStyle name="Moneda 4 3 6 2" xfId="6004" xr:uid="{4851DBE1-8AD0-477E-8265-0B38C44903B7}"/>
    <cellStyle name="Moneda 4 3 6 2 2" xfId="13565" xr:uid="{B703F58D-B07E-4B6C-8011-D88B2E458ACF}"/>
    <cellStyle name="Moneda 4 3 6 3" xfId="7408" xr:uid="{68E75490-60F3-48BD-9E63-013CFAEE1625}"/>
    <cellStyle name="Moneda 4 3 6 3 2" xfId="14937" xr:uid="{A8FC10CA-4522-4BC1-9DB3-BC60D1E07056}"/>
    <cellStyle name="Moneda 4 3 6 4" xfId="10582" xr:uid="{A247C6C8-7359-461B-9567-C5A5A7D3F718}"/>
    <cellStyle name="Moneda 4 3 7" xfId="3124" xr:uid="{083C4000-BA0B-4C5B-87EC-1AE1074C0CC7}"/>
    <cellStyle name="Moneda 4 3 7 2" xfId="6128" xr:uid="{5EDC4DA5-81BA-4487-B84C-17A04DA0986D}"/>
    <cellStyle name="Moneda 4 3 7 2 2" xfId="13689" xr:uid="{B63AC0DF-8FFD-40E9-8DC1-6C6E26871876}"/>
    <cellStyle name="Moneda 4 3 7 3" xfId="7532" xr:uid="{7BB4D063-1AD0-4F6D-8360-81569B1F40C1}"/>
    <cellStyle name="Moneda 4 3 7 3 2" xfId="15061" xr:uid="{238BD438-3310-42BC-A545-BA2A1800D882}"/>
    <cellStyle name="Moneda 4 3 7 4" xfId="10706" xr:uid="{1CD47ABD-96F2-4A0F-9237-6267973FC3E4}"/>
    <cellStyle name="Moneda 4 3 8" xfId="3249" xr:uid="{2A68A38E-1630-4E23-B121-FD45F1C92AE1}"/>
    <cellStyle name="Moneda 4 3 8 2" xfId="6253" xr:uid="{552501C8-E17D-4980-A6F8-6EFBC03FB04B}"/>
    <cellStyle name="Moneda 4 3 8 2 2" xfId="13814" xr:uid="{F386B0DF-F962-4146-9B60-5A2BC08E4BBD}"/>
    <cellStyle name="Moneda 4 3 8 3" xfId="7657" xr:uid="{3FF69544-F276-4925-BF75-9C983070194F}"/>
    <cellStyle name="Moneda 4 3 8 3 2" xfId="15186" xr:uid="{598B0A51-F878-4BCD-B24F-A810C50C71C5}"/>
    <cellStyle name="Moneda 4 3 8 4" xfId="10831" xr:uid="{5361667E-E28F-4B40-9170-5BD4412ED785}"/>
    <cellStyle name="Moneda 4 3 9" xfId="3377" xr:uid="{9B9187BF-E108-49CF-88B6-08E6E03B8347}"/>
    <cellStyle name="Moneda 4 3 9 2" xfId="6379" xr:uid="{05F1011A-09D0-49FE-9A0B-E8D0378ED1FB}"/>
    <cellStyle name="Moneda 4 3 9 2 2" xfId="13940" xr:uid="{6B4018B7-815A-4CDD-9CBC-2CB472DEB9B6}"/>
    <cellStyle name="Moneda 4 3 9 3" xfId="7783" xr:uid="{308E1FF6-BC2A-4827-9600-5D9BA51F7BB1}"/>
    <cellStyle name="Moneda 4 3 9 3 2" xfId="15312" xr:uid="{3E4FB30B-2584-4C07-ABC4-EE59724BEE02}"/>
    <cellStyle name="Moneda 4 3 9 4" xfId="10957" xr:uid="{29D66382-E5EA-4F43-94FE-F24D938A95D3}"/>
    <cellStyle name="Moneda 4 4" xfId="1429" xr:uid="{F74BECA5-51CC-4972-899F-22E663CD53FD}"/>
    <cellStyle name="Moneda 4 4 2" xfId="2448" xr:uid="{5B05EC44-4C5C-4F2E-ABE8-260658B89FBC}"/>
    <cellStyle name="Moneda 4 4 2 2" xfId="6582" xr:uid="{07D38A42-2F33-439E-9C60-33D762497114}"/>
    <cellStyle name="Moneda 4 4 2 2 2" xfId="14135" xr:uid="{4D8E4369-A89A-4A84-9A40-4B164BD32BEB}"/>
    <cellStyle name="Moneda 4 4 2 3" xfId="7978" xr:uid="{D8F437FD-C3CE-48F7-BECF-E56537375C55}"/>
    <cellStyle name="Moneda 4 4 2 3 2" xfId="15507" xr:uid="{FBC4A3E9-37C2-4AFD-A4EC-625765DEB6D7}"/>
    <cellStyle name="Moneda 4 4 2 4" xfId="10033" xr:uid="{2E08BE6A-00AA-43CC-AC63-20F01BA44B61}"/>
    <cellStyle name="Moneda 4 4 3" xfId="4389" xr:uid="{5BE2B343-11F1-4818-B695-04F5DD862F75}"/>
    <cellStyle name="Moneda 4 4 3 2" xfId="11957" xr:uid="{192AE9F4-9A0B-4EEA-97F8-E4E81D1C435B}"/>
    <cellStyle name="Moneda 4 4 4" xfId="5455" xr:uid="{B6F634EC-52D4-4B37-8A8B-2F49E432606E}"/>
    <cellStyle name="Moneda 4 4 4 2" xfId="13016" xr:uid="{40519BC7-FEA9-4E1B-A945-F83A2C284F65}"/>
    <cellStyle name="Moneda 4 4 5" xfId="6859" xr:uid="{B467040D-1582-4015-8A1D-B86CFBC8DE6F}"/>
    <cellStyle name="Moneda 4 4 5 2" xfId="14388" xr:uid="{329DED23-59F1-4709-9649-673F2F2EC0AD}"/>
    <cellStyle name="Moneda 4 4 6" xfId="9037" xr:uid="{BA01E7E0-EC80-4404-92E6-2A828B94330C}"/>
    <cellStyle name="Moneda 4 5" xfId="1808" xr:uid="{5DB0F202-EC2A-405F-A823-79C5DE1BB0D1}"/>
    <cellStyle name="Moneda 4 5 2" xfId="2571" xr:uid="{DF72F928-8E2E-4491-8CCF-5EECFC4FAA43}"/>
    <cellStyle name="Moneda 4 5 2 2" xfId="10154" xr:uid="{92AB9E1B-8FE0-4422-B97D-C90059401A23}"/>
    <cellStyle name="Moneda 4 5 3" xfId="4767" xr:uid="{835F4CB6-6679-43E4-A95B-F0F14B7CFAE7}"/>
    <cellStyle name="Moneda 4 5 3 2" xfId="12335" xr:uid="{19F24C49-FFA9-41EE-859B-AF86CBEA1032}"/>
    <cellStyle name="Moneda 4 5 4" xfId="5576" xr:uid="{6A7CB124-5663-4647-A141-47A06371FB8B}"/>
    <cellStyle name="Moneda 4 5 4 2" xfId="13137" xr:uid="{734B358C-0A40-47C4-A5D7-A71D6F177D4E}"/>
    <cellStyle name="Moneda 4 5 5" xfId="6980" xr:uid="{303744CD-3865-497F-A553-35E5D4F65DD9}"/>
    <cellStyle name="Moneda 4 5 5 2" xfId="14509" xr:uid="{F264F93E-FE9D-4F0E-B858-EDD181A6F2C8}"/>
    <cellStyle name="Moneda 4 5 6" xfId="9415" xr:uid="{C3BADB4B-9E18-4140-9001-436E6D7E7B9F}"/>
    <cellStyle name="Moneda 4 6" xfId="2693" xr:uid="{AFB0A5E8-9B13-4330-A9F4-2A3D2E15DA67}"/>
    <cellStyle name="Moneda 4 6 2" xfId="5698" xr:uid="{A077A535-D994-4E25-8316-AC3261F4BF4A}"/>
    <cellStyle name="Moneda 4 6 2 2" xfId="13259" xr:uid="{43559C43-560F-4146-8AC5-AFE7FBCD7DB7}"/>
    <cellStyle name="Moneda 4 6 3" xfId="7102" xr:uid="{E8D9CA73-7342-4B44-A7C8-B3234BDDC103}"/>
    <cellStyle name="Moneda 4 6 3 2" xfId="14631" xr:uid="{07850052-AC4C-4A05-A157-663F865E5530}"/>
    <cellStyle name="Moneda 4 6 4" xfId="10276" xr:uid="{71AA72AC-6B23-4290-B0C2-137085DEBE94}"/>
    <cellStyle name="Moneda 4 7" xfId="2818" xr:uid="{7172BC83-88C3-4BEC-A0B0-FEC2F83ADF7D}"/>
    <cellStyle name="Moneda 4 7 2" xfId="5822" xr:uid="{24321F59-2C85-47DC-8E77-81DD96DBAE25}"/>
    <cellStyle name="Moneda 4 7 2 2" xfId="13383" xr:uid="{ACD6CFB5-432F-47AC-AFD9-821AD609A12E}"/>
    <cellStyle name="Moneda 4 7 3" xfId="7226" xr:uid="{F44AC270-703E-46A6-A854-6F7ADB4AB185}"/>
    <cellStyle name="Moneda 4 7 3 2" xfId="14755" xr:uid="{6BB784D4-E6AA-4B00-B3B9-98CC1CC6EC3F}"/>
    <cellStyle name="Moneda 4 7 4" xfId="10400" xr:uid="{FFC98B7D-F146-451C-98D4-D6553E9664EB}"/>
    <cellStyle name="Moneda 4 8" xfId="2942" xr:uid="{02DE4CD7-2018-43BA-ADAE-D869756FF962}"/>
    <cellStyle name="Moneda 4 8 2" xfId="5946" xr:uid="{645B495A-0DBD-4814-817C-F262539DDA12}"/>
    <cellStyle name="Moneda 4 8 2 2" xfId="13507" xr:uid="{699609BA-CFAF-4C1A-926A-4349A61D45FD}"/>
    <cellStyle name="Moneda 4 8 3" xfId="7350" xr:uid="{C0A25280-7F9B-428B-A498-A920AB7A76A7}"/>
    <cellStyle name="Moneda 4 8 3 2" xfId="14879" xr:uid="{88BD4E59-28F5-45F5-BC35-5C1A0D52E06D}"/>
    <cellStyle name="Moneda 4 8 4" xfId="10524" xr:uid="{1B5CEEA6-B6CF-4448-8C8A-F9AF8FD7AE1C}"/>
    <cellStyle name="Moneda 4 9" xfId="3066" xr:uid="{164CE5EE-5BAC-4775-B322-A87F88A51BD5}"/>
    <cellStyle name="Moneda 4 9 2" xfId="6070" xr:uid="{43B29710-36B2-47DE-BF51-29115E953C48}"/>
    <cellStyle name="Moneda 4 9 2 2" xfId="13631" xr:uid="{A15AFD4C-6DD6-4D73-B137-F5591AE1A435}"/>
    <cellStyle name="Moneda 4 9 3" xfId="7474" xr:uid="{DAC3A7C7-0E55-4DA6-B5D0-E39DF61263EF}"/>
    <cellStyle name="Moneda 4 9 3 2" xfId="15003" xr:uid="{D2ED209E-22AA-4558-A449-989621AAB3B4}"/>
    <cellStyle name="Moneda 4 9 4" xfId="10648" xr:uid="{C0D78350-13CD-4F04-B5FD-FFC76C9EFEBF}"/>
    <cellStyle name="Moneda 40" xfId="304" xr:uid="{431987D3-9E1D-47CA-B7E3-74D5E4B8F533}"/>
    <cellStyle name="Moneda 40 2" xfId="1137" xr:uid="{8E4CAC0A-BBDD-4D18-BAA2-525F5C96619B}"/>
    <cellStyle name="Moneda 40 2 2" xfId="4097" xr:uid="{E4756976-A794-4A4C-BB61-3ED64008193F}"/>
    <cellStyle name="Moneda 40 2 2 2" xfId="11665" xr:uid="{8A3E105F-B02B-4C09-9616-5C44AF2D0C7D}"/>
    <cellStyle name="Moneda 40 2 3" xfId="8745" xr:uid="{F23AEBA6-69F7-4979-BD5D-C8F7D084CECB}"/>
    <cellStyle name="Moneda 40 3" xfId="1501" xr:uid="{557C45BD-36CB-44DA-BD12-4C5C32EB2D65}"/>
    <cellStyle name="Moneda 40 3 2" xfId="4461" xr:uid="{47604D8A-D589-4F31-A45B-442EA3BA384C}"/>
    <cellStyle name="Moneda 40 3 2 2" xfId="12029" xr:uid="{A0D4763F-D2F9-40D2-B357-413AB35E0C72}"/>
    <cellStyle name="Moneda 40 3 3" xfId="9109" xr:uid="{5AEF1DFF-A190-4A62-962A-E118D5E2A65A}"/>
    <cellStyle name="Moneda 40 4" xfId="1880" xr:uid="{495C7E3E-424A-4D2F-9472-CFE0B0F630FD}"/>
    <cellStyle name="Moneda 40 4 2" xfId="4839" xr:uid="{E251879B-EAD3-43E2-965D-E3C459304F4E}"/>
    <cellStyle name="Moneda 40 4 2 2" xfId="12407" xr:uid="{A8D2CE2C-5A64-4351-A823-62E08D07D758}"/>
    <cellStyle name="Moneda 40 4 3" xfId="9487" xr:uid="{9DA09348-0C9A-4BA2-9265-1AD7E4269A7B}"/>
    <cellStyle name="Moneda 40 5" xfId="3566" xr:uid="{AACA139E-8922-4B43-9E9B-D0C592287F17}"/>
    <cellStyle name="Moneda 40 5 2" xfId="11134" xr:uid="{CEA42190-7809-4018-BE71-5298D4A9C477}"/>
    <cellStyle name="Moneda 40 6" xfId="8214" xr:uid="{9DCAA756-FAAD-4254-B268-7CCA4EBFF6E1}"/>
    <cellStyle name="Moneda 41" xfId="307" xr:uid="{31AD8F66-2D98-40BD-9F14-5C01AE439C49}"/>
    <cellStyle name="Moneda 41 2" xfId="1139" xr:uid="{7A493944-14AA-4EE9-93F2-09648224C776}"/>
    <cellStyle name="Moneda 41 2 2" xfId="4099" xr:uid="{B3074A3F-19CE-49EC-A932-62A8B644F23F}"/>
    <cellStyle name="Moneda 41 2 2 2" xfId="11667" xr:uid="{B25453B7-06F2-42D3-A4F0-E05FD3B001B8}"/>
    <cellStyle name="Moneda 41 2 3" xfId="8747" xr:uid="{27014967-7089-413E-8DDA-200A535F78A0}"/>
    <cellStyle name="Moneda 41 3" xfId="1503" xr:uid="{BEB5108E-8DC2-4412-8C6F-B7BAD1F2A9FF}"/>
    <cellStyle name="Moneda 41 3 2" xfId="4463" xr:uid="{F11546A4-1823-404F-AACB-301A3594A639}"/>
    <cellStyle name="Moneda 41 3 2 2" xfId="12031" xr:uid="{5A06F926-660D-4D25-B7FA-A9129CE965CD}"/>
    <cellStyle name="Moneda 41 3 3" xfId="9111" xr:uid="{F9100D46-E61B-4825-91F7-ADEA0CACE355}"/>
    <cellStyle name="Moneda 41 4" xfId="1882" xr:uid="{34400599-D12F-4D22-AD20-BE021B18ECC5}"/>
    <cellStyle name="Moneda 41 4 2" xfId="4841" xr:uid="{25BE5760-5B69-4D3B-9310-2882BD261A46}"/>
    <cellStyle name="Moneda 41 4 2 2" xfId="12409" xr:uid="{FF851261-4AF6-40F6-89D9-643A3FC6B4ED}"/>
    <cellStyle name="Moneda 41 4 3" xfId="9489" xr:uid="{28552518-FCA3-47BC-9F0E-9E6D5B52EEAF}"/>
    <cellStyle name="Moneda 41 5" xfId="3568" xr:uid="{DFF9DB9C-F4EB-4244-8F5D-933651649CB2}"/>
    <cellStyle name="Moneda 41 5 2" xfId="11136" xr:uid="{EA76A38C-EBA0-4BC1-9522-F9D6FCE7FD53}"/>
    <cellStyle name="Moneda 41 6" xfId="8216" xr:uid="{0FD365FA-0CCD-42C1-985F-AEB6A8C789FE}"/>
    <cellStyle name="Moneda 42" xfId="310" xr:uid="{97A5800B-DD95-4228-A72A-A14567A26CAD}"/>
    <cellStyle name="Moneda 42 2" xfId="1141" xr:uid="{828B4794-F9FC-4EC1-BFB2-8BC31A04B23D}"/>
    <cellStyle name="Moneda 42 2 2" xfId="4101" xr:uid="{71D0DCE8-0698-4C27-AE7E-54DF833C397A}"/>
    <cellStyle name="Moneda 42 2 2 2" xfId="11669" xr:uid="{7CC82814-E855-460A-B27E-3BEE701805FF}"/>
    <cellStyle name="Moneda 42 2 3" xfId="8749" xr:uid="{6C0724B3-C0CB-48D2-8BC4-0C71F0FF35C5}"/>
    <cellStyle name="Moneda 42 3" xfId="1505" xr:uid="{5FCEC029-728D-407D-A75B-4659A53E746A}"/>
    <cellStyle name="Moneda 42 3 2" xfId="4465" xr:uid="{CA1F354F-88D1-498D-A05F-B7CDD733DD2C}"/>
    <cellStyle name="Moneda 42 3 2 2" xfId="12033" xr:uid="{0A007717-465F-4B13-9FB9-E72D1C4886AB}"/>
    <cellStyle name="Moneda 42 3 3" xfId="9113" xr:uid="{CC648AD2-0456-4BD7-A89F-5797316E1B11}"/>
    <cellStyle name="Moneda 42 4" xfId="1884" xr:uid="{DC8FAFE9-E242-485B-B486-C91BF17B08F2}"/>
    <cellStyle name="Moneda 42 4 2" xfId="4843" xr:uid="{E152F70A-5275-411A-82E6-A4F5E3BF0016}"/>
    <cellStyle name="Moneda 42 4 2 2" xfId="12411" xr:uid="{6433F0B2-2449-4171-BAAF-A6C28162C320}"/>
    <cellStyle name="Moneda 42 4 3" xfId="9491" xr:uid="{68F3A01A-C508-45FB-8AA0-4513B64D9607}"/>
    <cellStyle name="Moneda 42 5" xfId="3570" xr:uid="{B7A42F03-5486-438B-9D56-A9E81B2127DC}"/>
    <cellStyle name="Moneda 42 5 2" xfId="11138" xr:uid="{E72DF208-BE45-43E3-885A-046204244070}"/>
    <cellStyle name="Moneda 42 6" xfId="8218" xr:uid="{8379AC41-51C5-4C65-A354-B02BFDA4444A}"/>
    <cellStyle name="Moneda 43" xfId="313" xr:uid="{356D20E0-F0CE-4ED4-9854-42CF841E86F9}"/>
    <cellStyle name="Moneda 43 2" xfId="1143" xr:uid="{DFDDCBAA-419E-4700-A1D9-98B5CCC5A0EF}"/>
    <cellStyle name="Moneda 43 2 2" xfId="4103" xr:uid="{62236B51-A219-4A32-9DBD-19F9BA697C37}"/>
    <cellStyle name="Moneda 43 2 2 2" xfId="11671" xr:uid="{3AFBE3BE-D6E2-4C56-B703-2D398255824F}"/>
    <cellStyle name="Moneda 43 2 3" xfId="8751" xr:uid="{8B2DA23B-B331-4377-9DEB-B5597A678507}"/>
    <cellStyle name="Moneda 43 3" xfId="1507" xr:uid="{95860D88-A684-4A22-B8EE-4F5FBF2944DC}"/>
    <cellStyle name="Moneda 43 3 2" xfId="4467" xr:uid="{1DDF35B6-50A1-43CB-9452-C2F02D2CF103}"/>
    <cellStyle name="Moneda 43 3 2 2" xfId="12035" xr:uid="{31D166C2-17B0-4E72-97A5-FC62A5367675}"/>
    <cellStyle name="Moneda 43 3 3" xfId="9115" xr:uid="{4CAD7FFD-8C77-4892-81B9-DA16C854FED6}"/>
    <cellStyle name="Moneda 43 4" xfId="1886" xr:uid="{FC9040B2-435D-418A-A3D6-F103745D9EA1}"/>
    <cellStyle name="Moneda 43 4 2" xfId="4845" xr:uid="{1F80F784-551D-456E-B945-92E365B44D29}"/>
    <cellStyle name="Moneda 43 4 2 2" xfId="12413" xr:uid="{407B8632-0BF0-4A57-B63D-65FA5DB30AA6}"/>
    <cellStyle name="Moneda 43 4 3" xfId="9493" xr:uid="{21F79CFA-152E-44DB-8F0B-53E2F87D00EA}"/>
    <cellStyle name="Moneda 43 5" xfId="3572" xr:uid="{24BE7A6A-8EA5-402B-A8EA-ACFD1F2A61AC}"/>
    <cellStyle name="Moneda 43 5 2" xfId="11140" xr:uid="{87BCCA9D-6DBB-44DA-91B9-A6B64BA39B64}"/>
    <cellStyle name="Moneda 43 6" xfId="8220" xr:uid="{C138CF4F-0B61-45DA-A33A-3D5781D37737}"/>
    <cellStyle name="Moneda 44" xfId="316" xr:uid="{C988DFF7-0D57-4C34-A790-F263830448BB}"/>
    <cellStyle name="Moneda 44 2" xfId="1145" xr:uid="{192FF630-BDD4-4CCF-A064-9CA22F6DB771}"/>
    <cellStyle name="Moneda 44 2 2" xfId="4105" xr:uid="{DA704074-FAD0-4D0B-875F-54A2DF6388C6}"/>
    <cellStyle name="Moneda 44 2 2 2" xfId="11673" xr:uid="{8B51283E-086E-4D26-B050-4A1F044D2E06}"/>
    <cellStyle name="Moneda 44 2 3" xfId="8753" xr:uid="{755AE029-E6C7-45FB-A125-54E008499034}"/>
    <cellStyle name="Moneda 44 3" xfId="1509" xr:uid="{E65E34F5-607F-4550-93E1-91E9FDFA0D7A}"/>
    <cellStyle name="Moneda 44 3 2" xfId="4469" xr:uid="{23F17961-5C27-4697-9C42-3B5BE91670D6}"/>
    <cellStyle name="Moneda 44 3 2 2" xfId="12037" xr:uid="{5104AA65-6E59-408A-AA40-E6F7E85501ED}"/>
    <cellStyle name="Moneda 44 3 3" xfId="9117" xr:uid="{B06D7041-59ED-4746-8A19-4B8BBA17BBAC}"/>
    <cellStyle name="Moneda 44 4" xfId="1888" xr:uid="{9DD47006-FACD-49E8-A73D-930CFDE9ED2A}"/>
    <cellStyle name="Moneda 44 4 2" xfId="4847" xr:uid="{0EA2E79F-6B55-419E-A444-C966823C4556}"/>
    <cellStyle name="Moneda 44 4 2 2" xfId="12415" xr:uid="{9F9CA323-8742-46A4-A19C-77CB443AA777}"/>
    <cellStyle name="Moneda 44 4 3" xfId="9495" xr:uid="{74A79694-409E-4AB9-9609-F2ED37C42B4C}"/>
    <cellStyle name="Moneda 44 5" xfId="3574" xr:uid="{39AAE4FE-5899-4DAF-BCE6-F3255CE4A979}"/>
    <cellStyle name="Moneda 44 5 2" xfId="11142" xr:uid="{20F25707-CA4B-4D6D-9C46-DFC3C1E3F366}"/>
    <cellStyle name="Moneda 44 6" xfId="8222" xr:uid="{BDCDDE3C-BF8D-4EE9-8A70-3B994C9817DC}"/>
    <cellStyle name="Moneda 45" xfId="319" xr:uid="{05780053-0C52-4FC7-8E10-3773AFA233EC}"/>
    <cellStyle name="Moneda 45 2" xfId="1147" xr:uid="{58C4C8A5-C5A1-48DA-A7A9-BCC1BB62F509}"/>
    <cellStyle name="Moneda 45 2 2" xfId="4107" xr:uid="{BE13674E-690B-48E5-85C4-ACC74DCF7275}"/>
    <cellStyle name="Moneda 45 2 2 2" xfId="11675" xr:uid="{1C04728E-0496-4107-9E8D-B1D97E66D1F0}"/>
    <cellStyle name="Moneda 45 2 3" xfId="8755" xr:uid="{0DED51B4-839F-42BD-A538-5FA66E57F399}"/>
    <cellStyle name="Moneda 45 3" xfId="1511" xr:uid="{16D52E00-60A2-4F1B-9054-ED0F2A7234DD}"/>
    <cellStyle name="Moneda 45 3 2" xfId="4471" xr:uid="{B774D58E-5585-49B7-B4B4-5CD447ADF7FC}"/>
    <cellStyle name="Moneda 45 3 2 2" xfId="12039" xr:uid="{6623448B-3E9F-4F4E-B491-6A474DA3F8DA}"/>
    <cellStyle name="Moneda 45 3 3" xfId="9119" xr:uid="{A55053B3-DAD7-4F53-9D09-8EA0F3805B9F}"/>
    <cellStyle name="Moneda 45 4" xfId="1890" xr:uid="{ACF18FD4-3775-4279-9C49-C7824B77ADBA}"/>
    <cellStyle name="Moneda 45 4 2" xfId="4849" xr:uid="{A21A706C-9690-4AA6-847D-0453B72F91F2}"/>
    <cellStyle name="Moneda 45 4 2 2" xfId="12417" xr:uid="{0F51BC91-D3AF-4480-A430-255413D14808}"/>
    <cellStyle name="Moneda 45 4 3" xfId="9497" xr:uid="{20FEC8B7-F9D4-465D-86A8-6D902E8EAE10}"/>
    <cellStyle name="Moneda 45 5" xfId="3576" xr:uid="{66ECA2FF-F723-42B1-A681-FBC871F3AE9E}"/>
    <cellStyle name="Moneda 45 5 2" xfId="11144" xr:uid="{59321C6A-B981-4CC0-800E-DAD5D57F3C89}"/>
    <cellStyle name="Moneda 45 6" xfId="8224" xr:uid="{B1563AA0-D6B0-4DC3-8064-DA95CBCA62E2}"/>
    <cellStyle name="Moneda 46" xfId="322" xr:uid="{76E0BFC5-6286-405F-B7E0-A232D35DF4A0}"/>
    <cellStyle name="Moneda 46 2" xfId="1149" xr:uid="{5A6544A4-62EB-490E-A84D-0E3397ED0C7B}"/>
    <cellStyle name="Moneda 46 2 2" xfId="4109" xr:uid="{E72050C8-8690-4B19-A36A-BCFEA1CCB3E3}"/>
    <cellStyle name="Moneda 46 2 2 2" xfId="11677" xr:uid="{3C6390E3-55FF-436B-ADD4-2B4E67A27E0C}"/>
    <cellStyle name="Moneda 46 2 3" xfId="8757" xr:uid="{E4B0052D-3039-463C-A26F-C8BBB229636F}"/>
    <cellStyle name="Moneda 46 3" xfId="1513" xr:uid="{959B2DC6-FDCD-4574-83FA-A21A60B220CB}"/>
    <cellStyle name="Moneda 46 3 2" xfId="4473" xr:uid="{8AFC817B-B3E7-4C37-8685-35D90A66D3B2}"/>
    <cellStyle name="Moneda 46 3 2 2" xfId="12041" xr:uid="{99E913C8-FD7D-424D-95E7-6A85C83DB9BE}"/>
    <cellStyle name="Moneda 46 3 3" xfId="9121" xr:uid="{FE242CC6-4B98-4DC0-BEBB-8EDD0C63CE72}"/>
    <cellStyle name="Moneda 46 4" xfId="1892" xr:uid="{8B10FF26-843A-4C60-BF00-45BE7660AE07}"/>
    <cellStyle name="Moneda 46 4 2" xfId="4851" xr:uid="{B1DAFA90-7B71-4779-A3FD-0703EFBED076}"/>
    <cellStyle name="Moneda 46 4 2 2" xfId="12419" xr:uid="{89497416-1591-440A-9BC0-5C35A0E441A2}"/>
    <cellStyle name="Moneda 46 4 3" xfId="9499" xr:uid="{FA9AE3C6-F03E-4F5F-9C42-40B725E4400A}"/>
    <cellStyle name="Moneda 46 5" xfId="3578" xr:uid="{7BAF7343-83FE-46FC-AE0A-FEFD8BE764B5}"/>
    <cellStyle name="Moneda 46 5 2" xfId="11146" xr:uid="{EAE6D7A4-B52B-4819-8F98-2D11F58656A3}"/>
    <cellStyle name="Moneda 46 6" xfId="8226" xr:uid="{E04126D4-E967-4FE7-B6A4-E17E546E707C}"/>
    <cellStyle name="Moneda 47" xfId="325" xr:uid="{22EC5840-2212-403E-A999-2CE5326286F2}"/>
    <cellStyle name="Moneda 47 2" xfId="1151" xr:uid="{EE0839FE-A871-4248-9FEA-B57A43A00D16}"/>
    <cellStyle name="Moneda 47 2 2" xfId="4111" xr:uid="{CFF1A73F-5E3B-4A0E-BB07-39C203243B98}"/>
    <cellStyle name="Moneda 47 2 2 2" xfId="11679" xr:uid="{05E0F08B-0C41-4477-9E3D-BA5654DBA149}"/>
    <cellStyle name="Moneda 47 2 3" xfId="8759" xr:uid="{AD603C29-C23C-47AA-A279-065E80DF2B3D}"/>
    <cellStyle name="Moneda 47 3" xfId="1515" xr:uid="{F7DB72B5-AB3E-4DD0-9F2A-CEA314C64186}"/>
    <cellStyle name="Moneda 47 3 2" xfId="4475" xr:uid="{176ADA7E-8845-40F0-8325-325D38B93372}"/>
    <cellStyle name="Moneda 47 3 2 2" xfId="12043" xr:uid="{DB17A794-4F39-47D3-9A40-E33C21246A7E}"/>
    <cellStyle name="Moneda 47 3 3" xfId="9123" xr:uid="{99EABEDA-EC12-4324-B232-2E3931711ACD}"/>
    <cellStyle name="Moneda 47 4" xfId="1894" xr:uid="{C58F204E-24C9-42BA-BFEA-317EA2D5A81B}"/>
    <cellStyle name="Moneda 47 4 2" xfId="4853" xr:uid="{14EDB4B9-1F97-47FC-B006-DA2238A90425}"/>
    <cellStyle name="Moneda 47 4 2 2" xfId="12421" xr:uid="{FBAA3EB5-66EA-4D39-9609-775A9BFD10C1}"/>
    <cellStyle name="Moneda 47 4 3" xfId="9501" xr:uid="{084FEDFA-1E36-40EA-A219-0D9599E912CA}"/>
    <cellStyle name="Moneda 47 5" xfId="3580" xr:uid="{A5F16C82-449A-4932-B185-134A38AC11CF}"/>
    <cellStyle name="Moneda 47 5 2" xfId="11148" xr:uid="{9D51612C-C93B-4C9A-ACD5-E8D5BE35C66E}"/>
    <cellStyle name="Moneda 47 6" xfId="8228" xr:uid="{FCDB85BF-F92E-45FE-A371-59F1C8CC6244}"/>
    <cellStyle name="Moneda 48" xfId="328" xr:uid="{1883DFAC-3515-45A1-8F7F-BE5B2BCF97BC}"/>
    <cellStyle name="Moneda 48 2" xfId="1153" xr:uid="{09821C34-6840-4D1A-9523-D1A3ADFA81A3}"/>
    <cellStyle name="Moneda 48 2 2" xfId="4113" xr:uid="{7ED34B0F-D255-4882-960E-94965411EC01}"/>
    <cellStyle name="Moneda 48 2 2 2" xfId="11681" xr:uid="{FBA44D84-9E75-41A4-8D43-B31B105FE4DA}"/>
    <cellStyle name="Moneda 48 2 3" xfId="8761" xr:uid="{1B1BB53A-5885-439F-ADD0-0A96003DAA62}"/>
    <cellStyle name="Moneda 48 3" xfId="1517" xr:uid="{979CD9DD-7240-4DB6-A9AC-A9562D361B72}"/>
    <cellStyle name="Moneda 48 3 2" xfId="4477" xr:uid="{DA5D444D-1A79-4246-BB91-2043446CAA39}"/>
    <cellStyle name="Moneda 48 3 2 2" xfId="12045" xr:uid="{6D9D8B8B-6262-4D25-A8CF-B2293F1AE3A3}"/>
    <cellStyle name="Moneda 48 3 3" xfId="9125" xr:uid="{A88A301A-D044-4614-9D88-55469FF9437D}"/>
    <cellStyle name="Moneda 48 4" xfId="1896" xr:uid="{CA3128C7-E8E5-4498-9045-15F01752D995}"/>
    <cellStyle name="Moneda 48 4 2" xfId="4855" xr:uid="{1EABC1A6-C856-4B31-B406-DEBD124EA670}"/>
    <cellStyle name="Moneda 48 4 2 2" xfId="12423" xr:uid="{619631D5-FF21-4617-9A3D-C002ABA0559D}"/>
    <cellStyle name="Moneda 48 4 3" xfId="9503" xr:uid="{8466B652-6FDB-43FA-9E2C-B2EC9269EB58}"/>
    <cellStyle name="Moneda 48 5" xfId="3582" xr:uid="{0B32F5E9-5FB8-4AD8-B5BE-9CDDCEAB4ADD}"/>
    <cellStyle name="Moneda 48 5 2" xfId="11150" xr:uid="{6F0B9E70-31A1-48D6-B055-A904DA900FDE}"/>
    <cellStyle name="Moneda 48 6" xfId="8230" xr:uid="{3ACA0629-DF96-4760-9673-AB94126C8C06}"/>
    <cellStyle name="Moneda 49" xfId="331" xr:uid="{47295515-4D7B-4236-8F2F-0EEEEEEDF854}"/>
    <cellStyle name="Moneda 49 2" xfId="1155" xr:uid="{36AA6569-B9EB-493D-B703-7B85E5F6A121}"/>
    <cellStyle name="Moneda 49 2 2" xfId="4115" xr:uid="{73C46AA4-F6B2-460A-AA19-0597DE1D65B0}"/>
    <cellStyle name="Moneda 49 2 2 2" xfId="11683" xr:uid="{C0AE20DA-288A-4359-91FB-B12484CB7E6E}"/>
    <cellStyle name="Moneda 49 2 3" xfId="8763" xr:uid="{AC2ACBAC-4C41-4B8B-A761-B0C70D08F260}"/>
    <cellStyle name="Moneda 49 3" xfId="1519" xr:uid="{C5855210-0886-45B7-B5E3-2DFEA6DCE78C}"/>
    <cellStyle name="Moneda 49 3 2" xfId="4479" xr:uid="{03FCDD66-C417-4FED-84BC-A8EB8BCC4C6F}"/>
    <cellStyle name="Moneda 49 3 2 2" xfId="12047" xr:uid="{CE31E930-FC69-4BF0-919E-1A32A5298EF8}"/>
    <cellStyle name="Moneda 49 3 3" xfId="9127" xr:uid="{3DF1D48B-E01C-4445-AE8F-5705587EF5F1}"/>
    <cellStyle name="Moneda 49 4" xfId="1898" xr:uid="{FDCB9050-58BC-422F-833F-E1126FA10447}"/>
    <cellStyle name="Moneda 49 4 2" xfId="4857" xr:uid="{9F45C4CB-40FE-4C63-AC1B-FB193ED31642}"/>
    <cellStyle name="Moneda 49 4 2 2" xfId="12425" xr:uid="{A7FC2F6B-0EBF-4325-B07A-6CBD01654F97}"/>
    <cellStyle name="Moneda 49 4 3" xfId="9505" xr:uid="{33061A43-9DCE-48F1-B1F2-E2CD19CF1584}"/>
    <cellStyle name="Moneda 49 5" xfId="3584" xr:uid="{E5A9E083-DC2C-45FE-B4A0-1F34958591D6}"/>
    <cellStyle name="Moneda 49 5 2" xfId="11152" xr:uid="{D9D2C759-4A11-4181-A0DA-7CA5AC0D31AA}"/>
    <cellStyle name="Moneda 49 6" xfId="8232" xr:uid="{17C7DFED-829C-4942-BE81-5889C3DE2A6C}"/>
    <cellStyle name="Moneda 5" xfId="34" xr:uid="{00000000-0005-0000-0000-00005F000000}"/>
    <cellStyle name="Moneda 5 10" xfId="3194" xr:uid="{CEBD6F78-0751-4D43-B5AF-3E272FD26F3E}"/>
    <cellStyle name="Moneda 5 10 2" xfId="6198" xr:uid="{C52C692A-A24F-44E6-B04F-E41A14BA8BC7}"/>
    <cellStyle name="Moneda 5 10 2 2" xfId="13759" xr:uid="{76744C2F-9965-4736-BB19-4D261D81E8B5}"/>
    <cellStyle name="Moneda 5 10 3" xfId="7602" xr:uid="{9C684503-FEF8-4581-9535-E75CF04DC4C0}"/>
    <cellStyle name="Moneda 5 10 3 2" xfId="15131" xr:uid="{EC6812C5-56E3-4CF2-9B72-4A06C897CF83}"/>
    <cellStyle name="Moneda 5 10 4" xfId="10776" xr:uid="{D079A344-996D-4690-886C-2B8128D4F019}"/>
    <cellStyle name="Moneda 5 11" xfId="3322" xr:uid="{93AE1604-EA76-4778-B960-91A084AFF180}"/>
    <cellStyle name="Moneda 5 11 2" xfId="6324" xr:uid="{35344D66-AB48-4D8C-A845-04398E238AC7}"/>
    <cellStyle name="Moneda 5 11 2 2" xfId="13885" xr:uid="{D25299A8-550A-4442-9421-3D332A99A3AB}"/>
    <cellStyle name="Moneda 5 11 3" xfId="7728" xr:uid="{086979EA-F816-45D0-B92D-32189AF6E537}"/>
    <cellStyle name="Moneda 5 11 3 2" xfId="15257" xr:uid="{5002FFB7-92E8-40BB-9CE3-9CCAE16F731B}"/>
    <cellStyle name="Moneda 5 11 4" xfId="10902" xr:uid="{EB868A27-69DA-41B9-B888-EDB37D67BDF9}"/>
    <cellStyle name="Moneda 5 12" xfId="2317" xr:uid="{3D1A4181-968F-461E-9FF7-D4D4C2551B0F}"/>
    <cellStyle name="Moneda 5 12 2" xfId="6460" xr:uid="{59260735-8065-42B1-A979-7E696BF39716}"/>
    <cellStyle name="Moneda 5 12 2 2" xfId="14016" xr:uid="{C2E53AC9-BC40-4B1C-80B1-7CE549CF0CD0}"/>
    <cellStyle name="Moneda 5 12 3" xfId="7859" xr:uid="{F5B85772-F723-4113-8EF5-8FFE98C0B628}"/>
    <cellStyle name="Moneda 5 12 3 2" xfId="15388" xr:uid="{3122E018-CA3F-42B9-8E2D-8BC1C7008758}"/>
    <cellStyle name="Moneda 5 12 4" xfId="9916" xr:uid="{4FCA8780-6837-45EE-80A6-C45FE2D34F39}"/>
    <cellStyle name="Moneda 5 13" xfId="3485" xr:uid="{393D8E63-678F-478E-B031-E4535E6E6196}"/>
    <cellStyle name="Moneda 5 13 2" xfId="11053" xr:uid="{2761AE36-576C-44A7-A7CD-527C0879B9D9}"/>
    <cellStyle name="Moneda 5 14" xfId="5337" xr:uid="{3F15F1FA-B865-478D-AC65-8644EE8C0E01}"/>
    <cellStyle name="Moneda 5 14 2" xfId="12898" xr:uid="{360FCD4C-E62E-4830-8127-D3C0A5C7131B}"/>
    <cellStyle name="Moneda 5 15" xfId="6740" xr:uid="{69C90276-0B2F-48E7-A579-8B078FC9494A}"/>
    <cellStyle name="Moneda 5 15 2" xfId="14269" xr:uid="{C46003BF-76D7-4798-85AC-41DBE6863DC7}"/>
    <cellStyle name="Moneda 5 16" xfId="8133" xr:uid="{C1781DAD-42B8-4B05-90C3-44CB84200BA5}"/>
    <cellStyle name="Moneda 5 17" xfId="178" xr:uid="{37899445-3795-421B-BC44-1089A43D468B}"/>
    <cellStyle name="Moneda 5 2" xfId="1067" xr:uid="{D3B6FE6B-FDD2-4D5A-BE09-B69B673195B5}"/>
    <cellStyle name="Moneda 5 2 10" xfId="3351" xr:uid="{9206433E-1182-441D-AD6D-014580805312}"/>
    <cellStyle name="Moneda 5 2 10 2" xfId="6353" xr:uid="{3BAE414A-DAA1-4985-840E-687514587A2A}"/>
    <cellStyle name="Moneda 5 2 10 2 2" xfId="13914" xr:uid="{4208A55D-C3DF-46D2-A8B5-571DFED1A712}"/>
    <cellStyle name="Moneda 5 2 10 3" xfId="7757" xr:uid="{80C7292D-DC21-48BE-863B-251F96F606F0}"/>
    <cellStyle name="Moneda 5 2 10 3 2" xfId="15286" xr:uid="{63D9D73A-D69D-49DB-AE9E-649921FAC4A2}"/>
    <cellStyle name="Moneda 5 2 10 4" xfId="10931" xr:uid="{6AD1DAAF-3BD1-4486-87DD-DE347882E02C}"/>
    <cellStyle name="Moneda 5 2 11" xfId="2352" xr:uid="{2616F73C-A013-4EA3-AD8C-6F5C0F7B4067}"/>
    <cellStyle name="Moneda 5 2 11 2" xfId="6489" xr:uid="{296322F5-2B55-4861-9452-80D58B944342}"/>
    <cellStyle name="Moneda 5 2 11 2 2" xfId="14045" xr:uid="{A3D2C2F6-FE92-4983-A81D-D044E2FFBFD2}"/>
    <cellStyle name="Moneda 5 2 11 3" xfId="7888" xr:uid="{1DCB8836-3976-4999-85C3-BCFBDD9BD2F0}"/>
    <cellStyle name="Moneda 5 2 11 3 2" xfId="15417" xr:uid="{7CC92E96-F9E9-4667-93C5-632D50A72541}"/>
    <cellStyle name="Moneda 5 2 11 4" xfId="9946" xr:uid="{C36DFEF9-CC69-4AAD-A722-5AD0B589AF60}"/>
    <cellStyle name="Moneda 5 2 12" xfId="4027" xr:uid="{EBFF8FA7-C4CC-4437-A869-E694AF25F78E}"/>
    <cellStyle name="Moneda 5 2 12 2" xfId="11595" xr:uid="{652AE61F-E74D-401F-8A0A-F7AABA1062BB}"/>
    <cellStyle name="Moneda 5 2 13" xfId="5368" xr:uid="{C7BB5515-3FED-4B44-949F-AAB99DD0CFDA}"/>
    <cellStyle name="Moneda 5 2 13 2" xfId="12929" xr:uid="{35D4BAF9-EC7E-426C-B5B6-1C2E4803A2FA}"/>
    <cellStyle name="Moneda 5 2 14" xfId="6772" xr:uid="{751DF3E1-0A19-4616-880A-E86CCE872484}"/>
    <cellStyle name="Moneda 5 2 14 2" xfId="14301" xr:uid="{5D91FB3B-2065-4BC6-A5A2-C67B5B88E5B0}"/>
    <cellStyle name="Moneda 5 2 15" xfId="8675" xr:uid="{8F29757C-7264-4E4F-89AD-861C46DA47C2}"/>
    <cellStyle name="Moneda 5 2 2" xfId="2416" xr:uid="{4C90E08A-9397-4ED6-BC30-25EB3459008C}"/>
    <cellStyle name="Moneda 5 2 2 10" xfId="6547" xr:uid="{1F5069B8-D6E9-4664-8CA1-BF3C6B405AE0}"/>
    <cellStyle name="Moneda 5 2 2 10 2" xfId="7946" xr:uid="{AA714787-24A9-4D2D-8B17-239A1C786920}"/>
    <cellStyle name="Moneda 5 2 2 10 2 2" xfId="15475" xr:uid="{0048DAE3-2AE2-45BE-89F2-B8B95C667858}"/>
    <cellStyle name="Moneda 5 2 2 10 3" xfId="14103" xr:uid="{4E82E188-B6CD-4B51-8C4F-B28386227ECF}"/>
    <cellStyle name="Moneda 5 2 2 11" xfId="5426" xr:uid="{5B6544E4-E975-4930-AD1F-3104F424FE3F}"/>
    <cellStyle name="Moneda 5 2 2 11 2" xfId="12987" xr:uid="{AD0A2F03-E39C-4FDE-8E29-DC3705FD2E4C}"/>
    <cellStyle name="Moneda 5 2 2 12" xfId="6830" xr:uid="{A4697FFE-7CBC-435A-8081-BFD857E99A9E}"/>
    <cellStyle name="Moneda 5 2 2 12 2" xfId="14359" xr:uid="{D19490E0-DD47-4A68-BA60-709C86E49F59}"/>
    <cellStyle name="Moneda 5 2 2 13" xfId="10004" xr:uid="{78CAF9EA-DB9F-4A11-998D-BE7D865DB8D8}"/>
    <cellStyle name="Moneda 5 2 2 2" xfId="2540" xr:uid="{32C2107B-AB1F-468D-B9BD-AE41BC8DF03F}"/>
    <cellStyle name="Moneda 5 2 2 2 2" xfId="6682" xr:uid="{3BF28828-FB31-4049-AE27-0EB45B9BC80D}"/>
    <cellStyle name="Moneda 5 2 2 2 2 2" xfId="8068" xr:uid="{CED2CAA3-5484-4C5B-BB9D-2140EFE1A43F}"/>
    <cellStyle name="Moneda 5 2 2 2 2 2 2" xfId="15597" xr:uid="{3D260BE3-412A-4926-88B2-F6C7F9E6763F}"/>
    <cellStyle name="Moneda 5 2 2 2 2 3" xfId="14225" xr:uid="{CFCE3B24-2212-484B-A0D4-BE9339F3B9C7}"/>
    <cellStyle name="Moneda 5 2 2 2 3" xfId="5546" xr:uid="{953986AD-F120-4911-8DCF-6E30DF137EB6}"/>
    <cellStyle name="Moneda 5 2 2 2 3 2" xfId="13107" xr:uid="{235791A2-1ED6-408D-848D-4218C5D7A547}"/>
    <cellStyle name="Moneda 5 2 2 2 4" xfId="6950" xr:uid="{60E11B6C-D89E-478F-BB8D-6FA724EE52D7}"/>
    <cellStyle name="Moneda 5 2 2 2 4 2" xfId="14479" xr:uid="{DB1624E0-7450-4158-8E00-DCF2B43DCA27}"/>
    <cellStyle name="Moneda 5 2 2 2 5" xfId="10124" xr:uid="{61CCC084-2605-4758-82AE-4CAECEC58E66}"/>
    <cellStyle name="Moneda 5 2 2 3" xfId="2661" xr:uid="{51E5AFCD-EF36-4D7E-AB79-55DC462C2C05}"/>
    <cellStyle name="Moneda 5 2 2 3 2" xfId="5666" xr:uid="{6DAFB0A4-0813-4D4F-9071-EE88C9552276}"/>
    <cellStyle name="Moneda 5 2 2 3 2 2" xfId="13227" xr:uid="{87EB36DA-B4ED-43E9-95A6-379FB43CDA19}"/>
    <cellStyle name="Moneda 5 2 2 3 3" xfId="7070" xr:uid="{AB21C0C9-6131-442A-AB08-A8A2779B4131}"/>
    <cellStyle name="Moneda 5 2 2 3 3 2" xfId="14599" xr:uid="{1A4AC529-B628-4586-BFCF-B9DD90D19252}"/>
    <cellStyle name="Moneda 5 2 2 3 4" xfId="10244" xr:uid="{30668E71-6649-4F53-B6BA-3C324F6FD48E}"/>
    <cellStyle name="Moneda 5 2 2 4" xfId="2783" xr:uid="{BFF2537B-9A94-4806-8EB4-54EC78686227}"/>
    <cellStyle name="Moneda 5 2 2 4 2" xfId="5788" xr:uid="{5E851E65-B97D-4AE4-B3AC-822582972803}"/>
    <cellStyle name="Moneda 5 2 2 4 2 2" xfId="13349" xr:uid="{CB0AC87C-B8DB-4E7C-9F06-57081C52E6A1}"/>
    <cellStyle name="Moneda 5 2 2 4 3" xfId="7192" xr:uid="{B3EDF44C-DAC0-4972-87D1-345EAC1B6B1A}"/>
    <cellStyle name="Moneda 5 2 2 4 3 2" xfId="14721" xr:uid="{DB9239EA-231C-4ADA-9573-15D958C80E15}"/>
    <cellStyle name="Moneda 5 2 2 4 4" xfId="10366" xr:uid="{6AB055B3-0D26-4ABB-8692-3AF5EEA9B308}"/>
    <cellStyle name="Moneda 5 2 2 5" xfId="2908" xr:uid="{1E7CABFC-1401-4DB4-8F64-076F13A51555}"/>
    <cellStyle name="Moneda 5 2 2 5 2" xfId="5912" xr:uid="{4E332D3E-A591-4006-A7CE-51499CA828AC}"/>
    <cellStyle name="Moneda 5 2 2 5 2 2" xfId="13473" xr:uid="{CB23B621-2CB6-45E3-8408-39096AB73C4C}"/>
    <cellStyle name="Moneda 5 2 2 5 3" xfId="7316" xr:uid="{8A9BC6E8-9B08-4B42-B0E9-F4FA9CCB6FBF}"/>
    <cellStyle name="Moneda 5 2 2 5 3 2" xfId="14845" xr:uid="{BC1C579A-74E0-4BF9-87B6-2F85240A2F22}"/>
    <cellStyle name="Moneda 5 2 2 5 4" xfId="10490" xr:uid="{FD55571D-AE1B-4A0C-A9C1-2FC04952C326}"/>
    <cellStyle name="Moneda 5 2 2 6" xfId="3032" xr:uid="{2C2CAFAA-6D8B-4B74-AF0F-FAC3BDC2301B}"/>
    <cellStyle name="Moneda 5 2 2 6 2" xfId="6036" xr:uid="{65767E55-AC15-4724-A088-F6DC04529D62}"/>
    <cellStyle name="Moneda 5 2 2 6 2 2" xfId="13597" xr:uid="{37013FFC-3563-46F9-A9FB-F4B2EE14EA27}"/>
    <cellStyle name="Moneda 5 2 2 6 3" xfId="7440" xr:uid="{54313B24-8AED-4E6F-9132-ABB1787A1A9B}"/>
    <cellStyle name="Moneda 5 2 2 6 3 2" xfId="14969" xr:uid="{CBA70541-1055-4116-A995-D9285BB69D00}"/>
    <cellStyle name="Moneda 5 2 2 6 4" xfId="10614" xr:uid="{061A2197-B4DD-4700-8B97-2AD04244E88F}"/>
    <cellStyle name="Moneda 5 2 2 7" xfId="3156" xr:uid="{E3390EF9-5B10-4135-9D4A-5AC847FD45DB}"/>
    <cellStyle name="Moneda 5 2 2 7 2" xfId="6160" xr:uid="{40AE9445-B04F-4A97-AE99-FE35CF8CC82E}"/>
    <cellStyle name="Moneda 5 2 2 7 2 2" xfId="13721" xr:uid="{291C44BC-1743-42E5-B220-CC2E41113569}"/>
    <cellStyle name="Moneda 5 2 2 7 3" xfId="7564" xr:uid="{E4570E86-1B86-4443-902F-F004500FF622}"/>
    <cellStyle name="Moneda 5 2 2 7 3 2" xfId="15093" xr:uid="{324BCC27-0BFE-446C-8042-EB6B8F3228BC}"/>
    <cellStyle name="Moneda 5 2 2 7 4" xfId="10738" xr:uid="{233A5D63-C8A9-4A7B-906C-0CE82512577E}"/>
    <cellStyle name="Moneda 5 2 2 8" xfId="3281" xr:uid="{ECC3B971-F8F3-4CFF-ADD9-59CD22A46207}"/>
    <cellStyle name="Moneda 5 2 2 8 2" xfId="6285" xr:uid="{EFA028E6-0BDC-43E9-965E-AFF0F5666F3B}"/>
    <cellStyle name="Moneda 5 2 2 8 2 2" xfId="13846" xr:uid="{C261FEE7-1258-4897-A39B-F67277CFA205}"/>
    <cellStyle name="Moneda 5 2 2 8 3" xfId="7689" xr:uid="{C74B0935-BA73-4471-860B-80EDD8AF9E42}"/>
    <cellStyle name="Moneda 5 2 2 8 3 2" xfId="15218" xr:uid="{F377E5A2-1B77-4750-85A7-F316B3B39E8C}"/>
    <cellStyle name="Moneda 5 2 2 8 4" xfId="10863" xr:uid="{694ADD63-87F9-4CA7-A288-EE1DC167D0B3}"/>
    <cellStyle name="Moneda 5 2 2 9" xfId="3409" xr:uid="{DD38DE65-0B9D-434B-8F31-855EF3C694E6}"/>
    <cellStyle name="Moneda 5 2 2 9 2" xfId="6411" xr:uid="{B2ABB3FB-7CFF-4F52-9A82-8692E74A879E}"/>
    <cellStyle name="Moneda 5 2 2 9 2 2" xfId="13972" xr:uid="{C9125760-2EFB-4F08-9324-D80B53CAA244}"/>
    <cellStyle name="Moneda 5 2 2 9 3" xfId="7815" xr:uid="{768FF19B-5B0B-4297-BAE4-FD7126DF3268}"/>
    <cellStyle name="Moneda 5 2 2 9 3 2" xfId="15344" xr:uid="{3DF55050-0AB1-4216-ADB0-3152B1B49FFE}"/>
    <cellStyle name="Moneda 5 2 2 9 4" xfId="10989" xr:uid="{085BB6BA-2F49-4E74-933A-A9940A2E0FBE}"/>
    <cellStyle name="Moneda 5 2 3" xfId="2482" xr:uid="{B0C62428-F05B-417E-8327-B03DB56B57BA}"/>
    <cellStyle name="Moneda 5 2 3 2" xfId="6624" xr:uid="{991AC0FC-E838-49BE-9887-1390DCD96194}"/>
    <cellStyle name="Moneda 5 2 3 2 2" xfId="8010" xr:uid="{49076BF2-1A80-460C-B5DE-8C7B31FE800D}"/>
    <cellStyle name="Moneda 5 2 3 2 2 2" xfId="15539" xr:uid="{00E8A3A6-73EB-4E48-889C-BE2FE0BDD29A}"/>
    <cellStyle name="Moneda 5 2 3 2 3" xfId="14167" xr:uid="{F21A51B6-E788-47E9-A7BC-787ECE380CC9}"/>
    <cellStyle name="Moneda 5 2 3 3" xfId="5488" xr:uid="{9514F25E-EBA7-4C80-9DF9-D56DB7A10978}"/>
    <cellStyle name="Moneda 5 2 3 3 2" xfId="13049" xr:uid="{33F12B10-34A7-45CB-BB75-669B86444C05}"/>
    <cellStyle name="Moneda 5 2 3 4" xfId="6892" xr:uid="{C14F59DC-2159-44D9-B2BA-1D79E2E47D49}"/>
    <cellStyle name="Moneda 5 2 3 4 2" xfId="14421" xr:uid="{2DBCA518-518C-4EE3-A1CC-2A8683DD1647}"/>
    <cellStyle name="Moneda 5 2 3 5" xfId="10066" xr:uid="{57715E85-151F-4E14-BAF9-D80C19D4F621}"/>
    <cellStyle name="Moneda 5 2 4" xfId="2603" xr:uid="{C8550EE8-9D67-4BF5-8758-C5F2778AD98B}"/>
    <cellStyle name="Moneda 5 2 4 2" xfId="5608" xr:uid="{C056C3C1-7A86-49DE-9D87-8D70320A4732}"/>
    <cellStyle name="Moneda 5 2 4 2 2" xfId="13169" xr:uid="{2B3C7943-A923-40AA-80F0-658DEE93C9E4}"/>
    <cellStyle name="Moneda 5 2 4 3" xfId="7012" xr:uid="{7B49D77B-C8F9-4324-AA24-33A3D25EF1A4}"/>
    <cellStyle name="Moneda 5 2 4 3 2" xfId="14541" xr:uid="{2A8BCFC2-09BE-42C2-B818-92219F9BF0F5}"/>
    <cellStyle name="Moneda 5 2 4 4" xfId="10186" xr:uid="{28CC2E6D-56B6-49AF-80CC-5CFC7DDACAA9}"/>
    <cellStyle name="Moneda 5 2 5" xfId="2725" xr:uid="{5E9553B2-1872-45B3-96EA-33AEAB8FB246}"/>
    <cellStyle name="Moneda 5 2 5 2" xfId="5730" xr:uid="{ECC6FA09-2606-44A3-B12E-E105C1588D26}"/>
    <cellStyle name="Moneda 5 2 5 2 2" xfId="13291" xr:uid="{053289F9-F9A2-40DC-95BC-C9F649005960}"/>
    <cellStyle name="Moneda 5 2 5 3" xfId="7134" xr:uid="{791B87AA-50F1-4DFA-8548-1FDE805C8D26}"/>
    <cellStyle name="Moneda 5 2 5 3 2" xfId="14663" xr:uid="{F93A00ED-02DA-4E82-8D74-F5504FA69EA2}"/>
    <cellStyle name="Moneda 5 2 5 4" xfId="10308" xr:uid="{95408B01-DA17-4CE9-B16D-F1F454B73A88}"/>
    <cellStyle name="Moneda 5 2 6" xfId="2850" xr:uid="{FC20CA0B-6E7F-478F-A330-39C623CF80B4}"/>
    <cellStyle name="Moneda 5 2 6 2" xfId="5854" xr:uid="{226F455C-47BE-4EFA-B87B-9CA905FEA6AD}"/>
    <cellStyle name="Moneda 5 2 6 2 2" xfId="13415" xr:uid="{9BBB7967-CE5C-4406-BF2B-B6B928294D9F}"/>
    <cellStyle name="Moneda 5 2 6 3" xfId="7258" xr:uid="{AD83A32E-7D8D-4674-AA64-D30847359E32}"/>
    <cellStyle name="Moneda 5 2 6 3 2" xfId="14787" xr:uid="{46DE2414-4941-4F72-AF8A-C77E10202768}"/>
    <cellStyle name="Moneda 5 2 6 4" xfId="10432" xr:uid="{AF161F4D-2197-498B-A10F-072B222A64C3}"/>
    <cellStyle name="Moneda 5 2 7" xfId="2974" xr:uid="{40EA370D-9C89-4FE0-81A6-EB79CEBE9E30}"/>
    <cellStyle name="Moneda 5 2 7 2" xfId="5978" xr:uid="{69301E9E-DC6D-49CF-9A9E-07EBEE166A28}"/>
    <cellStyle name="Moneda 5 2 7 2 2" xfId="13539" xr:uid="{CA0F3B3E-7EBA-41DB-A5C7-01E7B2371D2A}"/>
    <cellStyle name="Moneda 5 2 7 3" xfId="7382" xr:uid="{41FC68AF-0AF5-426B-A3E4-9D365D333129}"/>
    <cellStyle name="Moneda 5 2 7 3 2" xfId="14911" xr:uid="{15EBC0AB-7C2C-41BC-88B4-4C7309D3AF14}"/>
    <cellStyle name="Moneda 5 2 7 4" xfId="10556" xr:uid="{A14A9E2C-AEF2-4F6B-AA73-48E065A503EF}"/>
    <cellStyle name="Moneda 5 2 8" xfId="3098" xr:uid="{E2AC92B7-586F-47BF-8BD2-7F072C4310FC}"/>
    <cellStyle name="Moneda 5 2 8 2" xfId="6102" xr:uid="{A3076CC3-7A88-4F40-976F-FABCC10AED58}"/>
    <cellStyle name="Moneda 5 2 8 2 2" xfId="13663" xr:uid="{2911C0B3-9826-4FF9-8370-97FFF5260B0E}"/>
    <cellStyle name="Moneda 5 2 8 3" xfId="7506" xr:uid="{89CD79AC-C967-44C4-A490-A32AE8212390}"/>
    <cellStyle name="Moneda 5 2 8 3 2" xfId="15035" xr:uid="{FA4D55E2-2FC2-4F10-B04A-E219857B5DF9}"/>
    <cellStyle name="Moneda 5 2 8 4" xfId="10680" xr:uid="{AC731206-F17D-4CB3-9476-00F3EDA0BF0B}"/>
    <cellStyle name="Moneda 5 2 9" xfId="3223" xr:uid="{899E9C61-CD96-4AEE-99F7-333D86B1C6CB}"/>
    <cellStyle name="Moneda 5 2 9 2" xfId="6227" xr:uid="{8D27E3BF-01D4-4F26-A078-634E9B4FB5D7}"/>
    <cellStyle name="Moneda 5 2 9 2 2" xfId="13788" xr:uid="{4B75BC1B-664B-440D-ABEE-317CD41C0717}"/>
    <cellStyle name="Moneda 5 2 9 3" xfId="7631" xr:uid="{01C6E727-2CC8-4C13-AAD7-EF0032FD315D}"/>
    <cellStyle name="Moneda 5 2 9 3 2" xfId="15160" xr:uid="{5C5CF156-F39A-489C-A9C4-CBF5AA8F64A5}"/>
    <cellStyle name="Moneda 5 2 9 4" xfId="10805" xr:uid="{05E421AE-D068-4E5A-86BF-985D6FE63C8E}"/>
    <cellStyle name="Moneda 5 3" xfId="1431" xr:uid="{B0C248ED-E48B-43B1-BCB0-B9E69F6416B1}"/>
    <cellStyle name="Moneda 5 3 10" xfId="2387" xr:uid="{2F876CC8-A856-4414-B4FA-1E7CF1AA46B8}"/>
    <cellStyle name="Moneda 5 3 10 2" xfId="6518" xr:uid="{32E5A92F-3403-44CC-A1A0-F32FD637EA36}"/>
    <cellStyle name="Moneda 5 3 10 2 2" xfId="14074" xr:uid="{C6BBAC63-5FB8-49BF-A313-AC126C0B41F6}"/>
    <cellStyle name="Moneda 5 3 10 3" xfId="7917" xr:uid="{1B3C0D62-DB11-4C6C-B7B4-F577B70B5493}"/>
    <cellStyle name="Moneda 5 3 10 3 2" xfId="15446" xr:uid="{E1A249A8-73A1-4FD9-A39E-3BFA8898DF1D}"/>
    <cellStyle name="Moneda 5 3 10 4" xfId="9975" xr:uid="{5C7B476F-17D5-4E65-B759-FB14A76A564D}"/>
    <cellStyle name="Moneda 5 3 11" xfId="4391" xr:uid="{A6E0B019-0718-4F21-B3C3-3CAC43C380D9}"/>
    <cellStyle name="Moneda 5 3 11 2" xfId="11959" xr:uid="{7034D75F-3313-4127-BAE5-02E42BB1FA42}"/>
    <cellStyle name="Moneda 5 3 12" xfId="5397" xr:uid="{3EFF4BB9-9BBD-456C-80D2-C73CBE0228E4}"/>
    <cellStyle name="Moneda 5 3 12 2" xfId="12958" xr:uid="{FA0B2723-45EA-4C0F-B50C-FE6CBAE03D93}"/>
    <cellStyle name="Moneda 5 3 13" xfId="6801" xr:uid="{5F2A88E7-4C45-4CA3-91DC-6CBB1B7D01AE}"/>
    <cellStyle name="Moneda 5 3 13 2" xfId="14330" xr:uid="{A4229CE1-2F72-426C-B3A7-2A94AED77B6F}"/>
    <cellStyle name="Moneda 5 3 14" xfId="9039" xr:uid="{AA8F5662-C43D-45AF-AA94-571F3ADC717F}"/>
    <cellStyle name="Moneda 5 3 2" xfId="2511" xr:uid="{D89181DD-DBC5-4525-BC84-25CF3A9A8317}"/>
    <cellStyle name="Moneda 5 3 2 2" xfId="6653" xr:uid="{AC8B5B29-5B0D-4905-AD7E-9EAEA51BC655}"/>
    <cellStyle name="Moneda 5 3 2 2 2" xfId="8039" xr:uid="{359BBA81-559A-4A49-BF81-65097F5ED04E}"/>
    <cellStyle name="Moneda 5 3 2 2 2 2" xfId="15568" xr:uid="{C6FE01C6-4B8C-4BEE-87DF-33A05177FD81}"/>
    <cellStyle name="Moneda 5 3 2 2 3" xfId="14196" xr:uid="{B303801F-241F-4008-A3C7-7412CFF14C2A}"/>
    <cellStyle name="Moneda 5 3 2 3" xfId="5517" xr:uid="{209326A5-09AE-4A6B-BDF3-C1D54DDB56A5}"/>
    <cellStyle name="Moneda 5 3 2 3 2" xfId="13078" xr:uid="{2F5BFF7A-E514-4FED-903B-F82DFD454978}"/>
    <cellStyle name="Moneda 5 3 2 4" xfId="6921" xr:uid="{14661F67-A703-4074-B975-8CFEC389B246}"/>
    <cellStyle name="Moneda 5 3 2 4 2" xfId="14450" xr:uid="{46F49D06-960B-4DE8-9E1A-A06C4C30334A}"/>
    <cellStyle name="Moneda 5 3 2 5" xfId="10095" xr:uid="{2AA52AC1-01DD-45EC-A2C3-B550D40D441B}"/>
    <cellStyle name="Moneda 5 3 3" xfId="2632" xr:uid="{E68B2A6B-C2BC-4270-A7AD-BFE7019BDFDA}"/>
    <cellStyle name="Moneda 5 3 3 2" xfId="5637" xr:uid="{1C3389E9-2ADB-4B9C-8E47-D776461F87F5}"/>
    <cellStyle name="Moneda 5 3 3 2 2" xfId="13198" xr:uid="{347E7C4F-518E-4C5E-824B-1396A2EDD2FB}"/>
    <cellStyle name="Moneda 5 3 3 3" xfId="7041" xr:uid="{DF1815D1-BB85-43BC-9231-2E7B9F66A820}"/>
    <cellStyle name="Moneda 5 3 3 3 2" xfId="14570" xr:uid="{1F9F76CF-B7B1-4F44-B2F8-468850413ABD}"/>
    <cellStyle name="Moneda 5 3 3 4" xfId="10215" xr:uid="{60058C78-49D9-4190-9E15-97F7B5FD1F58}"/>
    <cellStyle name="Moneda 5 3 4" xfId="2754" xr:uid="{E0A8CAD6-FB8D-41B9-852D-9C7C4324308C}"/>
    <cellStyle name="Moneda 5 3 4 2" xfId="5759" xr:uid="{82126E26-03E0-4370-AE1E-394D88438788}"/>
    <cellStyle name="Moneda 5 3 4 2 2" xfId="13320" xr:uid="{952B740A-FAA2-45CE-9F62-7875F4BB8E1A}"/>
    <cellStyle name="Moneda 5 3 4 3" xfId="7163" xr:uid="{83E5E295-905B-4EC8-8D9A-701C41565409}"/>
    <cellStyle name="Moneda 5 3 4 3 2" xfId="14692" xr:uid="{EA096DCB-0D00-4A44-B8D7-B9CCE508629B}"/>
    <cellStyle name="Moneda 5 3 4 4" xfId="10337" xr:uid="{2CCC4E1C-31DA-4C56-B9D3-9FA2E9A9598C}"/>
    <cellStyle name="Moneda 5 3 5" xfId="2879" xr:uid="{DDB899E1-BFE8-4BFE-8BE2-B3E169CF2707}"/>
    <cellStyle name="Moneda 5 3 5 2" xfId="5883" xr:uid="{5A4BFB54-2E90-4C01-9E3A-5EC558200032}"/>
    <cellStyle name="Moneda 5 3 5 2 2" xfId="13444" xr:uid="{F2773308-21D7-4864-9AF8-C0020CABEBF1}"/>
    <cellStyle name="Moneda 5 3 5 3" xfId="7287" xr:uid="{58A28CBF-BFB8-4332-88BA-4AF2FE799C39}"/>
    <cellStyle name="Moneda 5 3 5 3 2" xfId="14816" xr:uid="{678A02BA-7D3F-4897-ADF8-299FF5D80B6A}"/>
    <cellStyle name="Moneda 5 3 5 4" xfId="10461" xr:uid="{EAC4ACB6-911E-4AF9-9887-F2AC09FA11A5}"/>
    <cellStyle name="Moneda 5 3 6" xfId="3003" xr:uid="{AAD42647-80A1-4A10-8612-609A2B6C3C46}"/>
    <cellStyle name="Moneda 5 3 6 2" xfId="6007" xr:uid="{F289828A-DAA2-4375-A99D-E1181DC98B21}"/>
    <cellStyle name="Moneda 5 3 6 2 2" xfId="13568" xr:uid="{60BB4038-F072-4707-A8BA-1FAE3C8F5E9B}"/>
    <cellStyle name="Moneda 5 3 6 3" xfId="7411" xr:uid="{8C9FDAAE-AA8A-4C59-B604-DEF15F770959}"/>
    <cellStyle name="Moneda 5 3 6 3 2" xfId="14940" xr:uid="{90EEF447-5889-4702-B167-16E5E7ABAE75}"/>
    <cellStyle name="Moneda 5 3 6 4" xfId="10585" xr:uid="{CFEF1C13-C05E-45E2-9A26-FA676DFDC530}"/>
    <cellStyle name="Moneda 5 3 7" xfId="3127" xr:uid="{269A772D-DBC9-4A79-83A3-F49033A829AC}"/>
    <cellStyle name="Moneda 5 3 7 2" xfId="6131" xr:uid="{ADD20424-4EF2-433F-856B-5CE926C41D70}"/>
    <cellStyle name="Moneda 5 3 7 2 2" xfId="13692" xr:uid="{D5B553C2-61E8-46FB-A460-E31DF334BE72}"/>
    <cellStyle name="Moneda 5 3 7 3" xfId="7535" xr:uid="{6E630BA0-D6F2-421A-BB42-2DF942BDB134}"/>
    <cellStyle name="Moneda 5 3 7 3 2" xfId="15064" xr:uid="{11A068A3-50CE-45D0-A236-D9508C89521D}"/>
    <cellStyle name="Moneda 5 3 7 4" xfId="10709" xr:uid="{C50534E4-285E-430A-A6EA-C217685594CE}"/>
    <cellStyle name="Moneda 5 3 8" xfId="3252" xr:uid="{D3BA6686-8B24-4465-84DA-69F60AA75DBB}"/>
    <cellStyle name="Moneda 5 3 8 2" xfId="6256" xr:uid="{F8767236-4653-4983-A6B1-C1090550C065}"/>
    <cellStyle name="Moneda 5 3 8 2 2" xfId="13817" xr:uid="{C2CC7D8D-0F9E-41E2-A7B4-1B4B6CD4E4D4}"/>
    <cellStyle name="Moneda 5 3 8 3" xfId="7660" xr:uid="{713D1A12-517D-4CD7-A360-1F563C9C5086}"/>
    <cellStyle name="Moneda 5 3 8 3 2" xfId="15189" xr:uid="{FD375CEC-2835-481F-B870-B99E963FE66D}"/>
    <cellStyle name="Moneda 5 3 8 4" xfId="10834" xr:uid="{17A59F18-E079-488A-91BB-427041994439}"/>
    <cellStyle name="Moneda 5 3 9" xfId="3380" xr:uid="{16EE3CE5-188E-43FD-B31E-CD0D63FB3A15}"/>
    <cellStyle name="Moneda 5 3 9 2" xfId="6382" xr:uid="{66170B8D-2365-45A9-BD03-3233E3B81317}"/>
    <cellStyle name="Moneda 5 3 9 2 2" xfId="13943" xr:uid="{68411852-8140-469C-B9C6-31E0F2DD5578}"/>
    <cellStyle name="Moneda 5 3 9 3" xfId="7786" xr:uid="{504A6CDA-0623-49D6-A470-0CAF422E739E}"/>
    <cellStyle name="Moneda 5 3 9 3 2" xfId="15315" xr:uid="{2C2240D2-EEDA-4346-BE2F-1A1F55934DD3}"/>
    <cellStyle name="Moneda 5 3 9 4" xfId="10960" xr:uid="{7D37E3BB-0643-48B8-B7DB-DF8649C713B2}"/>
    <cellStyle name="Moneda 5 4" xfId="1810" xr:uid="{E0AB8362-458B-43A0-A748-38CAF621C221}"/>
    <cellStyle name="Moneda 5 4 2" xfId="2452" xr:uid="{0AF603FA-C03C-4830-851C-92468B55A1E3}"/>
    <cellStyle name="Moneda 5 4 2 2" xfId="6585" xr:uid="{C9424905-1F81-4D29-8013-0FB870018672}"/>
    <cellStyle name="Moneda 5 4 2 2 2" xfId="14138" xr:uid="{99916C7C-AE62-4ED0-B0B0-5C7CEF28C407}"/>
    <cellStyle name="Moneda 5 4 2 3" xfId="7981" xr:uid="{0D8297DE-65E0-4C77-B601-925561069FE0}"/>
    <cellStyle name="Moneda 5 4 2 3 2" xfId="15510" xr:uid="{4FC8D68A-B5C7-4305-BE40-32D0E5DA10E1}"/>
    <cellStyle name="Moneda 5 4 2 4" xfId="10036" xr:uid="{1C7D35F6-BD0E-4144-A207-2A426BB4C875}"/>
    <cellStyle name="Moneda 5 4 3" xfId="4769" xr:uid="{8F9510E9-E1C2-4E31-9F73-715BEEABC70D}"/>
    <cellStyle name="Moneda 5 4 3 2" xfId="12337" xr:uid="{51359ABC-4F28-43F6-8AFD-5D99FEF8A091}"/>
    <cellStyle name="Moneda 5 4 4" xfId="5458" xr:uid="{D5A725FF-1E36-4ADA-9BEA-3AFCBB6065D6}"/>
    <cellStyle name="Moneda 5 4 4 2" xfId="13019" xr:uid="{094AC740-1A95-4E0B-BD77-D603F448C0FF}"/>
    <cellStyle name="Moneda 5 4 5" xfId="6862" xr:uid="{8D3C0C48-0D4A-4720-B22D-579A53C1C9F5}"/>
    <cellStyle name="Moneda 5 4 5 2" xfId="14391" xr:uid="{93EF6043-02BB-44A3-9FB6-2553D1C66A7A}"/>
    <cellStyle name="Moneda 5 4 6" xfId="9417" xr:uid="{2670B567-5772-4978-8A4C-E102DB507939}"/>
    <cellStyle name="Moneda 5 5" xfId="2574" xr:uid="{0B6046DB-C3DD-4C39-8888-FFC691542DA6}"/>
    <cellStyle name="Moneda 5 5 2" xfId="5579" xr:uid="{3629799C-F5DA-4D4E-947A-EC29D9368D12}"/>
    <cellStyle name="Moneda 5 5 2 2" xfId="13140" xr:uid="{C6DC1F75-3FA1-4685-B162-E5B2EE12D348}"/>
    <cellStyle name="Moneda 5 5 3" xfId="6983" xr:uid="{6FEF6D33-B95F-4647-9FEF-E6FB36302957}"/>
    <cellStyle name="Moneda 5 5 3 2" xfId="14512" xr:uid="{19E5FDE5-B451-47E5-94DD-232D8BDA9B10}"/>
    <cellStyle name="Moneda 5 5 4" xfId="10157" xr:uid="{0519C11E-D641-422A-B4B1-5F5C646F998B}"/>
    <cellStyle name="Moneda 5 6" xfId="2696" xr:uid="{72BE9CD2-1F66-48EE-8A9A-DC19754339A6}"/>
    <cellStyle name="Moneda 5 6 2" xfId="5701" xr:uid="{084172F1-09F9-4D44-AD3B-84BB96F662E8}"/>
    <cellStyle name="Moneda 5 6 2 2" xfId="13262" xr:uid="{7BB078A1-1CEB-4F00-A80E-191999A71647}"/>
    <cellStyle name="Moneda 5 6 3" xfId="7105" xr:uid="{F31F7DD9-B8DF-4501-BAB5-311ECECD6B74}"/>
    <cellStyle name="Moneda 5 6 3 2" xfId="14634" xr:uid="{5F78D6C0-74FB-4212-A2DF-C994DD56C451}"/>
    <cellStyle name="Moneda 5 6 4" xfId="10279" xr:uid="{5E57EEB5-AE4C-4C8D-A980-B1C6082C13BF}"/>
    <cellStyle name="Moneda 5 7" xfId="2821" xr:uid="{1CBD8D2D-CD7B-408A-BCBE-EA29603181DB}"/>
    <cellStyle name="Moneda 5 7 2" xfId="5825" xr:uid="{F17CB9D1-31F4-4D06-88B2-704E535A1A75}"/>
    <cellStyle name="Moneda 5 7 2 2" xfId="13386" xr:uid="{03A4AE6C-43D9-42CD-A90A-1462D461E37B}"/>
    <cellStyle name="Moneda 5 7 3" xfId="7229" xr:uid="{B1BB07DD-26F5-4092-A275-BF32F968F7E7}"/>
    <cellStyle name="Moneda 5 7 3 2" xfId="14758" xr:uid="{843BA0DD-0883-4666-8550-FBF83F451D0D}"/>
    <cellStyle name="Moneda 5 7 4" xfId="10403" xr:uid="{D26CBBBD-AE30-43DB-97A6-A2E89032C0B3}"/>
    <cellStyle name="Moneda 5 8" xfId="2945" xr:uid="{41F952DA-E558-4096-BF02-BE77EA088D9D}"/>
    <cellStyle name="Moneda 5 8 2" xfId="5949" xr:uid="{E3B12CC2-52C6-4B10-8DC6-F2751792D557}"/>
    <cellStyle name="Moneda 5 8 2 2" xfId="13510" xr:uid="{2330721A-290E-4625-AB73-B1E930DF85CD}"/>
    <cellStyle name="Moneda 5 8 3" xfId="7353" xr:uid="{BF09C034-DA58-47B1-A80B-07BB25D1AB51}"/>
    <cellStyle name="Moneda 5 8 3 2" xfId="14882" xr:uid="{F0782401-CEBE-45B3-86F2-91990D2208A4}"/>
    <cellStyle name="Moneda 5 8 4" xfId="10527" xr:uid="{39D1E45E-7B1E-4F8F-9418-C9407F165522}"/>
    <cellStyle name="Moneda 5 9" xfId="3069" xr:uid="{34FDA9FD-146F-4D0D-8DB2-CBE243CCA6D5}"/>
    <cellStyle name="Moneda 5 9 2" xfId="6073" xr:uid="{6BF8E6E4-DE83-4A06-9AEE-507EACFACB5C}"/>
    <cellStyle name="Moneda 5 9 2 2" xfId="13634" xr:uid="{25E37301-C5FD-4E53-95F4-0EF39254469C}"/>
    <cellStyle name="Moneda 5 9 3" xfId="7477" xr:uid="{AC67AF5F-D8F2-410F-8D44-C923C9CDCB10}"/>
    <cellStyle name="Moneda 5 9 3 2" xfId="15006" xr:uid="{F095BC67-1C56-44F0-A214-78778BD0E195}"/>
    <cellStyle name="Moneda 5 9 4" xfId="10651" xr:uid="{E531FF56-CC6B-437F-B426-1DA47584A675}"/>
    <cellStyle name="Moneda 50" xfId="334" xr:uid="{3194BC21-C24E-42CF-9C71-6B1097A87CD6}"/>
    <cellStyle name="Moneda 50 2" xfId="1157" xr:uid="{2880B188-BC54-4206-A369-58B9C79CD958}"/>
    <cellStyle name="Moneda 50 2 2" xfId="4117" xr:uid="{1649BBE3-7E58-4BE4-AFF8-B9D1521B64FA}"/>
    <cellStyle name="Moneda 50 2 2 2" xfId="11685" xr:uid="{16B2C2F4-FBEF-4F09-AA3F-A386015390E7}"/>
    <cellStyle name="Moneda 50 2 3" xfId="8765" xr:uid="{6AA99D06-015A-4B22-89FA-709DF3FA58FE}"/>
    <cellStyle name="Moneda 50 3" xfId="1521" xr:uid="{FA7281F3-63A3-4B49-A63B-68CF4386DE05}"/>
    <cellStyle name="Moneda 50 3 2" xfId="4481" xr:uid="{C847FC74-D1F5-4BEE-9031-BB046CB77320}"/>
    <cellStyle name="Moneda 50 3 2 2" xfId="12049" xr:uid="{BC6F0C6C-14BE-4C01-B74E-1A5DD9773C45}"/>
    <cellStyle name="Moneda 50 3 3" xfId="9129" xr:uid="{A9916774-25DB-4222-BA8B-1ADA67B73BCB}"/>
    <cellStyle name="Moneda 50 4" xfId="1900" xr:uid="{EAE86C70-21DD-4224-8468-32FAB79B5BDE}"/>
    <cellStyle name="Moneda 50 4 2" xfId="4859" xr:uid="{187281CD-3460-42AF-9ED7-6F962FCA54B3}"/>
    <cellStyle name="Moneda 50 4 2 2" xfId="12427" xr:uid="{4D236D3D-94E2-4FAF-A9AB-4987358E7CB8}"/>
    <cellStyle name="Moneda 50 4 3" xfId="9507" xr:uid="{C5CB3983-CCC8-4AB7-A9FF-84D2B193ACD4}"/>
    <cellStyle name="Moneda 50 5" xfId="3586" xr:uid="{F8AC2811-F232-461C-817B-169A4CFB2E0A}"/>
    <cellStyle name="Moneda 50 5 2" xfId="11154" xr:uid="{C9D67E7D-8475-411E-8103-B0946C9B324C}"/>
    <cellStyle name="Moneda 50 6" xfId="8234" xr:uid="{05138915-A61C-4D40-9607-B47CBFDBADDA}"/>
    <cellStyle name="Moneda 51" xfId="337" xr:uid="{C8C15D90-C0F9-4C36-A6ED-2089263CA0F3}"/>
    <cellStyle name="Moneda 51 2" xfId="1159" xr:uid="{12F9F6C3-FB31-40BA-8333-350E9CC7B801}"/>
    <cellStyle name="Moneda 51 2 2" xfId="4119" xr:uid="{6F6766C1-4306-4406-B407-672F7869D09F}"/>
    <cellStyle name="Moneda 51 2 2 2" xfId="11687" xr:uid="{62C70BCD-E668-40AB-97DE-0706B27581D0}"/>
    <cellStyle name="Moneda 51 2 3" xfId="8767" xr:uid="{62B4C2DE-2935-4ADF-8515-88AE7125474A}"/>
    <cellStyle name="Moneda 51 3" xfId="1523" xr:uid="{E1AB039F-1075-4D5A-B880-EE1AA38BF477}"/>
    <cellStyle name="Moneda 51 3 2" xfId="4483" xr:uid="{2591B6F9-1C83-42B6-AF51-6FB7AA08390D}"/>
    <cellStyle name="Moneda 51 3 2 2" xfId="12051" xr:uid="{B17E1063-1356-41CC-A1AF-B742A7E8CE4D}"/>
    <cellStyle name="Moneda 51 3 3" xfId="9131" xr:uid="{D1B26A74-A162-41DF-ADC8-4DA547847ADC}"/>
    <cellStyle name="Moneda 51 4" xfId="1902" xr:uid="{86CA1AEC-F7FE-4199-BE9D-2FF4FAD697C2}"/>
    <cellStyle name="Moneda 51 4 2" xfId="4861" xr:uid="{156367E6-4A44-4525-9B54-F6C7BBFAA530}"/>
    <cellStyle name="Moneda 51 4 2 2" xfId="12429" xr:uid="{1BF5EB7E-336E-46A8-AFA9-BEEF4DFFB47D}"/>
    <cellStyle name="Moneda 51 4 3" xfId="9509" xr:uid="{121B05E2-583A-47DC-B1F4-4CCD859190CE}"/>
    <cellStyle name="Moneda 51 5" xfId="3588" xr:uid="{E4414CC4-FA8B-4F5C-8EB2-F7B9E14F2BDA}"/>
    <cellStyle name="Moneda 51 5 2" xfId="11156" xr:uid="{4CCF38B5-93DD-4D77-BDAD-B85138CF9C25}"/>
    <cellStyle name="Moneda 51 6" xfId="8236" xr:uid="{116ECB48-85D3-4AF4-90DE-DEEE3D80CB46}"/>
    <cellStyle name="Moneda 52" xfId="340" xr:uid="{1162EA83-026B-4CD8-9A3D-58D642865A12}"/>
    <cellStyle name="Moneda 52 2" xfId="1161" xr:uid="{9778B02B-8397-47E9-96CD-A1A0CAF4B8DE}"/>
    <cellStyle name="Moneda 52 2 2" xfId="4121" xr:uid="{ED7845E2-6B35-4EE6-A36B-6875D0CCC287}"/>
    <cellStyle name="Moneda 52 2 2 2" xfId="11689" xr:uid="{DAB7FEBE-C193-4F30-A011-A72974605E37}"/>
    <cellStyle name="Moneda 52 2 3" xfId="8769" xr:uid="{9B5E8A6B-1E53-41D9-9AEF-CE6786554D58}"/>
    <cellStyle name="Moneda 52 3" xfId="1525" xr:uid="{F013E0BF-221F-4DDF-9633-D7194AB90976}"/>
    <cellStyle name="Moneda 52 3 2" xfId="4485" xr:uid="{53F7431C-C5F9-42E5-B11E-07578728B23B}"/>
    <cellStyle name="Moneda 52 3 2 2" xfId="12053" xr:uid="{65D1E331-BF79-44C3-B2C6-CFA4459C734B}"/>
    <cellStyle name="Moneda 52 3 3" xfId="9133" xr:uid="{87217FE1-0E9E-4193-9213-83FC95F99B15}"/>
    <cellStyle name="Moneda 52 4" xfId="1904" xr:uid="{22279F36-E186-4A56-85E3-9C67D8735886}"/>
    <cellStyle name="Moneda 52 4 2" xfId="4863" xr:uid="{5E6B12C8-B97B-455B-8DD6-CEAF9C46A2A9}"/>
    <cellStyle name="Moneda 52 4 2 2" xfId="12431" xr:uid="{4C772C78-D86D-4128-995D-8E832E87BE7B}"/>
    <cellStyle name="Moneda 52 4 3" xfId="9511" xr:uid="{BB93009E-714F-4C94-B8DA-1F661A7B1CB1}"/>
    <cellStyle name="Moneda 52 5" xfId="3590" xr:uid="{5CA20DC5-7B86-4DAC-90A3-B9CEE1E4E65B}"/>
    <cellStyle name="Moneda 52 5 2" xfId="11158" xr:uid="{3DCDB114-CC89-4D67-9303-5E6733C72C3A}"/>
    <cellStyle name="Moneda 52 6" xfId="8238" xr:uid="{21B078BE-F3CF-44BC-BD25-EABF2D9F7499}"/>
    <cellStyle name="Moneda 53" xfId="343" xr:uid="{C1E397D1-837F-498C-B1CB-539609C167EC}"/>
    <cellStyle name="Moneda 53 2" xfId="1163" xr:uid="{E47AA505-B344-4122-A347-CB29D0BC0663}"/>
    <cellStyle name="Moneda 53 2 2" xfId="4123" xr:uid="{E5EEB88A-6FFD-4780-87DE-A7EC52BC9CFD}"/>
    <cellStyle name="Moneda 53 2 2 2" xfId="11691" xr:uid="{FAB31B82-3FEC-492E-996E-E57DCB1CD6B7}"/>
    <cellStyle name="Moneda 53 2 3" xfId="8771" xr:uid="{414BE52B-2CFD-403B-8A7D-80EF27163D5F}"/>
    <cellStyle name="Moneda 53 3" xfId="1527" xr:uid="{DEF3DE8F-F38F-4669-9062-417AFCC4AF39}"/>
    <cellStyle name="Moneda 53 3 2" xfId="4487" xr:uid="{AA82667D-EB9A-4062-BAC8-96E0D18C09D7}"/>
    <cellStyle name="Moneda 53 3 2 2" xfId="12055" xr:uid="{5ECB201E-249F-4089-B948-C6114DC1FAF9}"/>
    <cellStyle name="Moneda 53 3 3" xfId="9135" xr:uid="{1849290F-175A-4092-97E2-C45B0DF1B9BC}"/>
    <cellStyle name="Moneda 53 4" xfId="1906" xr:uid="{C87940C1-A74F-4754-86CC-F94B04C906B0}"/>
    <cellStyle name="Moneda 53 4 2" xfId="4865" xr:uid="{20DF9752-BEA9-4740-A0EB-0525BC90138B}"/>
    <cellStyle name="Moneda 53 4 2 2" xfId="12433" xr:uid="{9C44938C-4A7C-43F2-9E86-46948F175D1E}"/>
    <cellStyle name="Moneda 53 4 3" xfId="9513" xr:uid="{BE16255B-63F7-4ABC-BC8A-D7696C7A7C5C}"/>
    <cellStyle name="Moneda 53 5" xfId="3592" xr:uid="{A91DD4FB-EFFB-44A0-AB92-1AD2F18EC185}"/>
    <cellStyle name="Moneda 53 5 2" xfId="11160" xr:uid="{EAF60845-F1EA-4006-8206-98A9D9836945}"/>
    <cellStyle name="Moneda 53 6" xfId="8240" xr:uid="{80CE0AEF-3D51-43A8-8E89-204503602718}"/>
    <cellStyle name="Moneda 54" xfId="346" xr:uid="{35EB6ECA-834A-4F22-ADC5-11C4B608ECF7}"/>
    <cellStyle name="Moneda 54 2" xfId="1165" xr:uid="{0AA9A5CC-B752-4327-AEA5-BCDDAE683F47}"/>
    <cellStyle name="Moneda 54 2 2" xfId="4125" xr:uid="{AF5FA3D5-ED5B-473B-AD32-49CEAEC639F3}"/>
    <cellStyle name="Moneda 54 2 2 2" xfId="11693" xr:uid="{79E1E123-5EFC-4EA2-BC15-259493A4BD65}"/>
    <cellStyle name="Moneda 54 2 3" xfId="8773" xr:uid="{CF192212-0751-4A15-8E5E-05DD2E1AE7AA}"/>
    <cellStyle name="Moneda 54 3" xfId="1529" xr:uid="{C26C9472-FB01-4558-9BC4-B3D608E77A83}"/>
    <cellStyle name="Moneda 54 3 2" xfId="4489" xr:uid="{89B11C92-6151-4AEF-B97B-2711F70B0D71}"/>
    <cellStyle name="Moneda 54 3 2 2" xfId="12057" xr:uid="{0D65D8EF-A7AE-4791-93DB-B743F7694381}"/>
    <cellStyle name="Moneda 54 3 3" xfId="9137" xr:uid="{70F718C8-ED9B-486F-BEFA-8EDC61F849BB}"/>
    <cellStyle name="Moneda 54 4" xfId="1908" xr:uid="{9758C237-B370-44E3-95E0-0424711D68B0}"/>
    <cellStyle name="Moneda 54 4 2" xfId="4867" xr:uid="{05C5FF87-B157-4E30-B686-8CE8FC2BD167}"/>
    <cellStyle name="Moneda 54 4 2 2" xfId="12435" xr:uid="{0EAD40C0-0C1D-4690-9AC5-6EC1BC1A0C0B}"/>
    <cellStyle name="Moneda 54 4 3" xfId="9515" xr:uid="{7BCC36EB-B6CB-4AF7-A157-DBEDE8FB7321}"/>
    <cellStyle name="Moneda 54 5" xfId="3594" xr:uid="{86448617-ED79-44AC-B4A5-E150078E262D}"/>
    <cellStyle name="Moneda 54 5 2" xfId="11162" xr:uid="{C125EF84-12EB-4375-8F56-3687A0E08224}"/>
    <cellStyle name="Moneda 54 6" xfId="8242" xr:uid="{991F0F08-EF99-4870-9786-945BCD954AB2}"/>
    <cellStyle name="Moneda 55" xfId="349" xr:uid="{3E6E7FEB-2A2A-4DBB-A271-D5014D928F0A}"/>
    <cellStyle name="Moneda 55 2" xfId="1167" xr:uid="{0E4A6E34-8432-4705-B1F7-7A2951D46297}"/>
    <cellStyle name="Moneda 55 2 2" xfId="4127" xr:uid="{32526E6B-15C1-4C47-A7CE-3AF6450A2835}"/>
    <cellStyle name="Moneda 55 2 2 2" xfId="11695" xr:uid="{D79842A3-49C5-4028-ACBF-3E0CF827F2C1}"/>
    <cellStyle name="Moneda 55 2 3" xfId="8775" xr:uid="{6215AA2C-73BA-4259-8F03-9B66A23E3A0F}"/>
    <cellStyle name="Moneda 55 3" xfId="1531" xr:uid="{4B276534-0E23-4236-8038-EB8061D3FCC8}"/>
    <cellStyle name="Moneda 55 3 2" xfId="4491" xr:uid="{201882CF-EFF9-4B83-8420-009BD9947BC9}"/>
    <cellStyle name="Moneda 55 3 2 2" xfId="12059" xr:uid="{7C687E12-3EF8-49AF-ABF9-40524738A546}"/>
    <cellStyle name="Moneda 55 3 3" xfId="9139" xr:uid="{0090DF2B-3D9A-4481-B4AF-0E51978A74BF}"/>
    <cellStyle name="Moneda 55 4" xfId="1910" xr:uid="{95E59557-022A-4D22-A3CB-5824B279E02E}"/>
    <cellStyle name="Moneda 55 4 2" xfId="4869" xr:uid="{8A79EC29-BB74-464F-B6D6-B4BA4D8F3582}"/>
    <cellStyle name="Moneda 55 4 2 2" xfId="12437" xr:uid="{867C10D4-B35A-4175-B1BF-D5980CB6976C}"/>
    <cellStyle name="Moneda 55 4 3" xfId="9517" xr:uid="{FDD28BB1-C91A-47B0-B34A-4700C65E0BCB}"/>
    <cellStyle name="Moneda 55 5" xfId="3596" xr:uid="{AA9EF14D-612F-4ABE-876A-A44271401EB4}"/>
    <cellStyle name="Moneda 55 5 2" xfId="11164" xr:uid="{BCD53BA2-5CB0-451B-88CA-4F0C48CE7CEA}"/>
    <cellStyle name="Moneda 55 6" xfId="8244" xr:uid="{0F4665B9-CABE-40FF-8B82-516AF4FBEC41}"/>
    <cellStyle name="Moneda 56" xfId="352" xr:uid="{790F9872-309D-4877-BE5B-F908C3128029}"/>
    <cellStyle name="Moneda 56 2" xfId="1169" xr:uid="{5325D7B8-6592-446A-A13B-C32EB0C11440}"/>
    <cellStyle name="Moneda 56 2 2" xfId="4129" xr:uid="{5B3EACEC-B9A6-470B-BA45-16209ECA833F}"/>
    <cellStyle name="Moneda 56 2 2 2" xfId="11697" xr:uid="{4FC64E9E-8BFE-4756-B433-6FEBE1A1CAC1}"/>
    <cellStyle name="Moneda 56 2 3" xfId="8777" xr:uid="{E6B4A17C-D048-4D41-B731-DC73A12623ED}"/>
    <cellStyle name="Moneda 56 3" xfId="1533" xr:uid="{45B4D7C1-A7D1-456E-81F5-364A1E3651B0}"/>
    <cellStyle name="Moneda 56 3 2" xfId="4493" xr:uid="{AFA026DB-FACC-4DE3-8F7F-60A065E450E2}"/>
    <cellStyle name="Moneda 56 3 2 2" xfId="12061" xr:uid="{EDFF895B-49E0-45A8-BD73-AA86A7C6E129}"/>
    <cellStyle name="Moneda 56 3 3" xfId="9141" xr:uid="{71A9A8A3-829D-464C-BF6E-9E2D6EAAB7B4}"/>
    <cellStyle name="Moneda 56 4" xfId="1912" xr:uid="{914532F2-FBCA-4C80-9265-64A575FFA06C}"/>
    <cellStyle name="Moneda 56 4 2" xfId="4871" xr:uid="{17193225-F54C-4C1E-820E-9FE13FACB729}"/>
    <cellStyle name="Moneda 56 4 2 2" xfId="12439" xr:uid="{17B65734-8966-4C1D-A386-29E1B3470193}"/>
    <cellStyle name="Moneda 56 4 3" xfId="9519" xr:uid="{00E65557-CC54-4D29-A674-5723FB0CFC92}"/>
    <cellStyle name="Moneda 56 5" xfId="3598" xr:uid="{00D78F76-BE37-428F-A405-55161C13FA21}"/>
    <cellStyle name="Moneda 56 5 2" xfId="11166" xr:uid="{B84663A4-BAC1-4502-8ED1-258E52488D55}"/>
    <cellStyle name="Moneda 56 6" xfId="8246" xr:uid="{2C1D92D5-4FED-4D5E-80EB-83D73171D210}"/>
    <cellStyle name="Moneda 57" xfId="355" xr:uid="{65DB9CD0-9AB8-4179-9C47-9F9DA8A2771F}"/>
    <cellStyle name="Moneda 57 2" xfId="1171" xr:uid="{0B3DD453-1FD5-4A04-A032-B20D93584F19}"/>
    <cellStyle name="Moneda 57 2 2" xfId="4131" xr:uid="{9C3F424A-A078-4C5C-BD86-CADA1BE23513}"/>
    <cellStyle name="Moneda 57 2 2 2" xfId="11699" xr:uid="{17EAB59E-685B-4534-A803-13F8C0497260}"/>
    <cellStyle name="Moneda 57 2 3" xfId="8779" xr:uid="{11922646-747B-4023-9636-4BF158FF9DD8}"/>
    <cellStyle name="Moneda 57 3" xfId="1535" xr:uid="{9141C8A7-6ACB-4B51-AD86-4E068DC31394}"/>
    <cellStyle name="Moneda 57 3 2" xfId="4495" xr:uid="{50C5AFB0-1857-4936-9445-72739B392CF9}"/>
    <cellStyle name="Moneda 57 3 2 2" xfId="12063" xr:uid="{4CE5FC43-AED4-4769-B33A-D985C68D1ECB}"/>
    <cellStyle name="Moneda 57 3 3" xfId="9143" xr:uid="{EA019DB4-73FB-43A3-80AC-B1784A81B7A6}"/>
    <cellStyle name="Moneda 57 4" xfId="1914" xr:uid="{56152495-BE8A-4821-AB2B-5C2AC553073E}"/>
    <cellStyle name="Moneda 57 4 2" xfId="4873" xr:uid="{74F6323B-B4C1-41A3-9957-ED1F4E574343}"/>
    <cellStyle name="Moneda 57 4 2 2" xfId="12441" xr:uid="{794ECDB5-8B30-4CF4-996C-ADCE20547639}"/>
    <cellStyle name="Moneda 57 4 3" xfId="9521" xr:uid="{B69FA0C0-6113-4A4B-B96D-1B69DEC884DD}"/>
    <cellStyle name="Moneda 57 5" xfId="3600" xr:uid="{F0ABADF2-0911-41F1-B06E-874A46C70927}"/>
    <cellStyle name="Moneda 57 5 2" xfId="11168" xr:uid="{307542BB-E041-40EC-9044-0957CF816DDA}"/>
    <cellStyle name="Moneda 57 6" xfId="8248" xr:uid="{03F92D82-E422-4DF2-9479-CB70E44E6A42}"/>
    <cellStyle name="Moneda 58" xfId="358" xr:uid="{68614C29-ACCD-40A3-9ADE-06C03B56BE0E}"/>
    <cellStyle name="Moneda 58 2" xfId="1173" xr:uid="{24E52908-2666-4404-AFA4-286AD220124A}"/>
    <cellStyle name="Moneda 58 2 2" xfId="4133" xr:uid="{18C1F8E0-3B2D-4156-ACF1-F5AF65C6EB97}"/>
    <cellStyle name="Moneda 58 2 2 2" xfId="11701" xr:uid="{CA149CF6-A8F6-4AFB-9AA2-AEE9D5D0A31B}"/>
    <cellStyle name="Moneda 58 2 3" xfId="8781" xr:uid="{DB8B02FA-5F7B-4196-9EC7-36B096786992}"/>
    <cellStyle name="Moneda 58 3" xfId="1537" xr:uid="{07900418-798B-42AA-B196-C28744ECEBEB}"/>
    <cellStyle name="Moneda 58 3 2" xfId="4497" xr:uid="{DC18F320-9430-4AC4-B3B6-13C3C78179AD}"/>
    <cellStyle name="Moneda 58 3 2 2" xfId="12065" xr:uid="{9F5360C4-2EEE-4B65-8D9C-B46A3DC9B85E}"/>
    <cellStyle name="Moneda 58 3 3" xfId="9145" xr:uid="{5E21ED24-5E7F-4D8D-92E2-FDBE11EE42CB}"/>
    <cellStyle name="Moneda 58 4" xfId="1916" xr:uid="{3E6AD17D-E58F-44A8-A062-9060AE02104C}"/>
    <cellStyle name="Moneda 58 4 2" xfId="4875" xr:uid="{C1180322-91ED-47BB-A052-2C5191E391BE}"/>
    <cellStyle name="Moneda 58 4 2 2" xfId="12443" xr:uid="{FFFFCB1E-42B7-4D92-B004-31214EA10E72}"/>
    <cellStyle name="Moneda 58 4 3" xfId="9523" xr:uid="{8BCA7C40-E184-4B21-8732-DFA173B23647}"/>
    <cellStyle name="Moneda 58 5" xfId="3602" xr:uid="{AD6D54AA-2F5D-4E99-9B91-1CE224287062}"/>
    <cellStyle name="Moneda 58 5 2" xfId="11170" xr:uid="{53F3D509-6C7C-41B6-9C1B-AF9DD5DDDA75}"/>
    <cellStyle name="Moneda 58 6" xfId="8250" xr:uid="{14D86203-081B-4CF3-957E-6FBD7DD41EBB}"/>
    <cellStyle name="Moneda 59" xfId="361" xr:uid="{0BC1C977-5702-4E21-BD76-1E5A2B5863FA}"/>
    <cellStyle name="Moneda 59 2" xfId="1175" xr:uid="{2270E3B9-8E69-488C-BA37-5F3D561669AB}"/>
    <cellStyle name="Moneda 59 2 2" xfId="4135" xr:uid="{980613AB-4C38-406E-9A23-1421D105AD83}"/>
    <cellStyle name="Moneda 59 2 2 2" xfId="11703" xr:uid="{41702C00-82D1-49B5-8689-1BD4D05EC01F}"/>
    <cellStyle name="Moneda 59 2 3" xfId="8783" xr:uid="{85DA56AB-D4E0-4AF1-9B53-0B0BBC021E4B}"/>
    <cellStyle name="Moneda 59 3" xfId="1539" xr:uid="{39372DD6-87E6-4800-B3E1-B91561368A65}"/>
    <cellStyle name="Moneda 59 3 2" xfId="4499" xr:uid="{8ADDF364-0DA9-40D1-8230-45A70148A0F0}"/>
    <cellStyle name="Moneda 59 3 2 2" xfId="12067" xr:uid="{33DE3121-0A02-471E-8F04-E8CAD6ADDDB2}"/>
    <cellStyle name="Moneda 59 3 3" xfId="9147" xr:uid="{B5D604AA-60C3-4732-A4EA-0D8D6124142B}"/>
    <cellStyle name="Moneda 59 4" xfId="1918" xr:uid="{509B05EA-BD0A-46EC-8BD2-5E9D502E42DE}"/>
    <cellStyle name="Moneda 59 4 2" xfId="4877" xr:uid="{FAC05662-AE02-4A37-AC4D-CB8597113BC3}"/>
    <cellStyle name="Moneda 59 4 2 2" xfId="12445" xr:uid="{78CBDAA6-0959-4B08-9475-D7424DE2639A}"/>
    <cellStyle name="Moneda 59 4 3" xfId="9525" xr:uid="{668C06DE-EAD9-4C34-A16D-CF7F862648A8}"/>
    <cellStyle name="Moneda 59 5" xfId="3604" xr:uid="{283D94CE-0A15-4807-B8CF-266EAAB5009E}"/>
    <cellStyle name="Moneda 59 5 2" xfId="11172" xr:uid="{B5E940E2-3A9B-4B06-B9BB-B2BC41C66431}"/>
    <cellStyle name="Moneda 59 6" xfId="8252" xr:uid="{552A72B4-42B0-4EFC-B9A8-73CEEA37E959}"/>
    <cellStyle name="Moneda 6" xfId="35" xr:uid="{00000000-0005-0000-0000-000060000000}"/>
    <cellStyle name="Moneda 6 10" xfId="3195" xr:uid="{C33A9687-2BCB-442D-A981-A0EABA8318E5}"/>
    <cellStyle name="Moneda 6 10 2" xfId="6199" xr:uid="{898C8D48-0B0F-4AE0-836E-87E7D8663BF8}"/>
    <cellStyle name="Moneda 6 10 2 2" xfId="13760" xr:uid="{54E489FB-589C-468C-99EF-57C2811E1B30}"/>
    <cellStyle name="Moneda 6 10 3" xfId="7603" xr:uid="{A9420D4A-9CD5-4A06-806A-0B4E7FADC60A}"/>
    <cellStyle name="Moneda 6 10 3 2" xfId="15132" xr:uid="{97974311-F807-4311-B68E-7CB50C5CA3E0}"/>
    <cellStyle name="Moneda 6 10 4" xfId="10777" xr:uid="{CBEC91B1-1963-4A42-B692-9EC867A1B6D0}"/>
    <cellStyle name="Moneda 6 11" xfId="3323" xr:uid="{1189E0F9-6294-4A79-8B40-78EAE688AF6B}"/>
    <cellStyle name="Moneda 6 11 2" xfId="6325" xr:uid="{2F83E3F7-8DF5-4F4C-A3EF-99EE4D4ADC08}"/>
    <cellStyle name="Moneda 6 11 2 2" xfId="13886" xr:uid="{DC92AF03-A722-42DD-BE75-AB92D0DB3C36}"/>
    <cellStyle name="Moneda 6 11 3" xfId="7729" xr:uid="{5E31FAE1-F7D7-4E1E-BB05-07B15399EEA3}"/>
    <cellStyle name="Moneda 6 11 3 2" xfId="15258" xr:uid="{FD077FFC-AFE5-44EE-BEAC-737542E864D7}"/>
    <cellStyle name="Moneda 6 11 4" xfId="10903" xr:uid="{D725ECFA-0DEC-4EAD-AE8B-3D03EF30B27C}"/>
    <cellStyle name="Moneda 6 12" xfId="2318" xr:uid="{7C15021A-E3B6-4412-A9A9-5C91D22E7C83}"/>
    <cellStyle name="Moneda 6 12 2" xfId="6461" xr:uid="{FB1DA686-2A24-4E3F-BC05-313B65CB380E}"/>
    <cellStyle name="Moneda 6 12 2 2" xfId="14017" xr:uid="{E420AAED-82BF-494A-94A8-CE51220EC2B9}"/>
    <cellStyle name="Moneda 6 12 3" xfId="7860" xr:uid="{33BA398E-D160-42AB-866C-C365F41852EC}"/>
    <cellStyle name="Moneda 6 12 3 2" xfId="15389" xr:uid="{14FF0C55-02AD-4F0A-8CE0-DEC7C16C434B}"/>
    <cellStyle name="Moneda 6 12 4" xfId="9917" xr:uid="{214B1CA2-7AB9-48B0-B540-DCDC79A90D61}"/>
    <cellStyle name="Moneda 6 13" xfId="3484" xr:uid="{39788C86-C8FC-45A1-81ED-71DA6C17AA31}"/>
    <cellStyle name="Moneda 6 13 2" xfId="11052" xr:uid="{EFD94937-B55F-4352-970B-BFD956DDCC1E}"/>
    <cellStyle name="Moneda 6 14" xfId="5338" xr:uid="{639B1964-F23E-4AE6-BD21-CC0E90ACF3E9}"/>
    <cellStyle name="Moneda 6 14 2" xfId="12899" xr:uid="{F571BF2B-A0F2-4E46-A3AE-1EB332761151}"/>
    <cellStyle name="Moneda 6 15" xfId="6741" xr:uid="{1114A875-BDAB-490D-9382-C4BF86133A40}"/>
    <cellStyle name="Moneda 6 15 2" xfId="14270" xr:uid="{9747439E-29AB-45F9-B669-98201A903B36}"/>
    <cellStyle name="Moneda 6 16" xfId="8132" xr:uid="{37FEB308-ECA5-44F4-BF80-D018DE72E9C3}"/>
    <cellStyle name="Moneda 6 17" xfId="177" xr:uid="{A45D8E1A-0457-417A-866A-E279EEBAC1E9}"/>
    <cellStyle name="Moneda 6 2" xfId="1069" xr:uid="{299C504C-C9D9-47C5-BDCC-191EB537571E}"/>
    <cellStyle name="Moneda 6 2 10" xfId="3352" xr:uid="{6AF254E1-1AE1-4AD1-8D74-7F42CAF96784}"/>
    <cellStyle name="Moneda 6 2 10 2" xfId="6354" xr:uid="{1C821F58-4A15-4126-9842-3A4D3B196E89}"/>
    <cellStyle name="Moneda 6 2 10 2 2" xfId="13915" xr:uid="{8CFC7F22-5D44-4B33-987D-7324F8C56CE9}"/>
    <cellStyle name="Moneda 6 2 10 3" xfId="7758" xr:uid="{79773317-BE17-477B-B78E-3FD910D44B25}"/>
    <cellStyle name="Moneda 6 2 10 3 2" xfId="15287" xr:uid="{D36B1421-6C10-4DE7-8C6A-35D817DFEE87}"/>
    <cellStyle name="Moneda 6 2 10 4" xfId="10932" xr:uid="{1658F4DA-DCC8-4CD6-A568-3209D1674BC8}"/>
    <cellStyle name="Moneda 6 2 11" xfId="2353" xr:uid="{8AA875BF-B31B-4655-9BA9-3D3248430307}"/>
    <cellStyle name="Moneda 6 2 11 2" xfId="6490" xr:uid="{6E36D27C-ADA4-4A39-B27B-85E838BEB72D}"/>
    <cellStyle name="Moneda 6 2 11 2 2" xfId="14046" xr:uid="{682EBD7B-BDAE-4698-973A-DD7FA9E5A381}"/>
    <cellStyle name="Moneda 6 2 11 3" xfId="7889" xr:uid="{9EA8E38C-593D-43F3-9430-FAF0B455EC29}"/>
    <cellStyle name="Moneda 6 2 11 3 2" xfId="15418" xr:uid="{73A54C1F-E9DF-4619-BA77-AA5F8CAB8737}"/>
    <cellStyle name="Moneda 6 2 11 4" xfId="9947" xr:uid="{AE571E26-C32D-4BFB-87C1-E134E1CEA5A7}"/>
    <cellStyle name="Moneda 6 2 12" xfId="4029" xr:uid="{736618DB-5E6C-4A82-94D5-DEF0E7C7BF8F}"/>
    <cellStyle name="Moneda 6 2 12 2" xfId="11597" xr:uid="{42E7B33C-9CBB-4741-AF8D-C036ED23429D}"/>
    <cellStyle name="Moneda 6 2 13" xfId="5369" xr:uid="{A47BE060-227F-49C6-B65F-51A9DC76FCFA}"/>
    <cellStyle name="Moneda 6 2 13 2" xfId="12930" xr:uid="{15721E3D-DE25-4B3F-A85E-11ED4BE72EB5}"/>
    <cellStyle name="Moneda 6 2 14" xfId="6773" xr:uid="{711BB31C-1F27-4C67-863D-A407D5E3A03D}"/>
    <cellStyle name="Moneda 6 2 14 2" xfId="14302" xr:uid="{D6967590-DA9B-4D07-9EDA-3DCCAEE042AB}"/>
    <cellStyle name="Moneda 6 2 15" xfId="8677" xr:uid="{49860475-8CB6-406A-B09A-3EE9E0451D6C}"/>
    <cellStyle name="Moneda 6 2 2" xfId="2417" xr:uid="{C2DDBB5B-3ED6-4A00-A208-4696320E1454}"/>
    <cellStyle name="Moneda 6 2 2 10" xfId="6548" xr:uid="{601D30CE-68E3-4008-9B28-CA0AC5A0E6AF}"/>
    <cellStyle name="Moneda 6 2 2 10 2" xfId="7947" xr:uid="{D59EE5FB-3619-42B2-8B44-A17D22126376}"/>
    <cellStyle name="Moneda 6 2 2 10 2 2" xfId="15476" xr:uid="{902CB221-81D5-4F26-8568-C248A9CCB7F3}"/>
    <cellStyle name="Moneda 6 2 2 10 3" xfId="14104" xr:uid="{2F7067ED-FF3C-46D1-845A-17A3E1A8D92A}"/>
    <cellStyle name="Moneda 6 2 2 11" xfId="5427" xr:uid="{EB4F98F5-9138-4495-AE56-48D057B4C161}"/>
    <cellStyle name="Moneda 6 2 2 11 2" xfId="12988" xr:uid="{3C132502-03D0-4CEA-B432-0F3B8F3E2053}"/>
    <cellStyle name="Moneda 6 2 2 12" xfId="6831" xr:uid="{0D46B7DA-0C34-4CBF-BE80-280F7AB8CE20}"/>
    <cellStyle name="Moneda 6 2 2 12 2" xfId="14360" xr:uid="{70D69F1D-2719-4EA2-99BC-6CDF63B9D60A}"/>
    <cellStyle name="Moneda 6 2 2 13" xfId="10005" xr:uid="{7E4B7FAF-884B-4584-B7A1-0F70959CE552}"/>
    <cellStyle name="Moneda 6 2 2 2" xfId="2541" xr:uid="{373E90A0-2047-4295-AEA6-EF97739014A8}"/>
    <cellStyle name="Moneda 6 2 2 2 2" xfId="6683" xr:uid="{D01C7A2A-DC65-4C3B-BA07-71AFFD1E6070}"/>
    <cellStyle name="Moneda 6 2 2 2 2 2" xfId="8069" xr:uid="{21811355-C41C-4D64-BC1E-4704D08B92A4}"/>
    <cellStyle name="Moneda 6 2 2 2 2 2 2" xfId="15598" xr:uid="{B9F4F156-1377-4923-876A-92A771CB7094}"/>
    <cellStyle name="Moneda 6 2 2 2 2 3" xfId="14226" xr:uid="{9C1C2102-6F87-4650-8205-86BD25DDB544}"/>
    <cellStyle name="Moneda 6 2 2 2 3" xfId="5547" xr:uid="{8224446E-1064-4A15-BB2A-DC8EF7062329}"/>
    <cellStyle name="Moneda 6 2 2 2 3 2" xfId="13108" xr:uid="{F8E2EC03-7711-4E86-8869-D3672D0F4EBF}"/>
    <cellStyle name="Moneda 6 2 2 2 4" xfId="6951" xr:uid="{F91F0382-F3B8-455D-85DC-7CA851A5323F}"/>
    <cellStyle name="Moneda 6 2 2 2 4 2" xfId="14480" xr:uid="{75828D46-40B4-45BE-A16C-B5368C7B8808}"/>
    <cellStyle name="Moneda 6 2 2 2 5" xfId="10125" xr:uid="{A61A12DC-CB79-494E-B623-0694CDBB7100}"/>
    <cellStyle name="Moneda 6 2 2 3" xfId="2662" xr:uid="{C29C5781-737B-44BA-BD16-5216C6A7E8E5}"/>
    <cellStyle name="Moneda 6 2 2 3 2" xfId="5667" xr:uid="{B59396EF-8EB1-4334-95EE-042200240474}"/>
    <cellStyle name="Moneda 6 2 2 3 2 2" xfId="13228" xr:uid="{678BEACC-43C9-4C23-A285-0B347303428B}"/>
    <cellStyle name="Moneda 6 2 2 3 3" xfId="7071" xr:uid="{866D710F-0731-4523-9C34-659CB2B382E4}"/>
    <cellStyle name="Moneda 6 2 2 3 3 2" xfId="14600" xr:uid="{69510A2C-C874-4D62-B9E7-072B98CF6FFA}"/>
    <cellStyle name="Moneda 6 2 2 3 4" xfId="10245" xr:uid="{0CE8BDB4-F74E-495F-8EA1-051F417D29F4}"/>
    <cellStyle name="Moneda 6 2 2 4" xfId="2784" xr:uid="{4D80741A-5660-47F8-8F75-CDB6C7BE6ED8}"/>
    <cellStyle name="Moneda 6 2 2 4 2" xfId="5789" xr:uid="{8257E2AC-1ABA-4DC9-8BEC-7BC8A3C5E1B8}"/>
    <cellStyle name="Moneda 6 2 2 4 2 2" xfId="13350" xr:uid="{87FAB06E-E281-4AD9-96C1-85F26F7D8C69}"/>
    <cellStyle name="Moneda 6 2 2 4 3" xfId="7193" xr:uid="{73C15E67-C9DA-46D0-AB54-11435A6DD7C7}"/>
    <cellStyle name="Moneda 6 2 2 4 3 2" xfId="14722" xr:uid="{31DB0882-378C-450A-8C1E-85BDA32E8E76}"/>
    <cellStyle name="Moneda 6 2 2 4 4" xfId="10367" xr:uid="{4C6514F0-7243-43C0-BD28-9B0C6BC965D3}"/>
    <cellStyle name="Moneda 6 2 2 5" xfId="2909" xr:uid="{0A91D78E-FBA2-4C93-9B87-8CE4AC525FC8}"/>
    <cellStyle name="Moneda 6 2 2 5 2" xfId="5913" xr:uid="{21D032F9-152A-4C9B-A2E8-3D333C2682D9}"/>
    <cellStyle name="Moneda 6 2 2 5 2 2" xfId="13474" xr:uid="{0A34F801-7E1F-490B-9DE5-E8EC0C8C7FA9}"/>
    <cellStyle name="Moneda 6 2 2 5 3" xfId="7317" xr:uid="{FAD92CF1-F938-448E-9782-0863F7408BD2}"/>
    <cellStyle name="Moneda 6 2 2 5 3 2" xfId="14846" xr:uid="{60D0AFE8-9847-40BE-A483-3710122CF680}"/>
    <cellStyle name="Moneda 6 2 2 5 4" xfId="10491" xr:uid="{95E5FD6C-D909-4950-8E6B-D93CDE6CC158}"/>
    <cellStyle name="Moneda 6 2 2 6" xfId="3033" xr:uid="{44D27192-F331-4815-A4F3-C9818AFDEC4D}"/>
    <cellStyle name="Moneda 6 2 2 6 2" xfId="6037" xr:uid="{13818F92-F968-4176-96F4-21D321CBF51A}"/>
    <cellStyle name="Moneda 6 2 2 6 2 2" xfId="13598" xr:uid="{90D753FE-1B5B-4D84-BF52-CE20316F08A2}"/>
    <cellStyle name="Moneda 6 2 2 6 3" xfId="7441" xr:uid="{935CF396-674C-44FB-B20A-6BA09F3134CE}"/>
    <cellStyle name="Moneda 6 2 2 6 3 2" xfId="14970" xr:uid="{0C5AEE34-1930-4F63-979C-F2B5AC098D5D}"/>
    <cellStyle name="Moneda 6 2 2 6 4" xfId="10615" xr:uid="{453CF50F-F59F-49F2-805F-4069CB31B34B}"/>
    <cellStyle name="Moneda 6 2 2 7" xfId="3157" xr:uid="{A58313EC-E1DF-42EB-B23F-87B63E86ABB0}"/>
    <cellStyle name="Moneda 6 2 2 7 2" xfId="6161" xr:uid="{0B0BCD02-0A5B-4657-825A-78871D6AFDF3}"/>
    <cellStyle name="Moneda 6 2 2 7 2 2" xfId="13722" xr:uid="{A6516D76-80D0-4A61-91C1-F61E5A924CA0}"/>
    <cellStyle name="Moneda 6 2 2 7 3" xfId="7565" xr:uid="{9434FA3F-5E2C-4677-BBBD-D24FF728EF39}"/>
    <cellStyle name="Moneda 6 2 2 7 3 2" xfId="15094" xr:uid="{19266A49-CC80-42BF-8CD9-8E45E9B0BC33}"/>
    <cellStyle name="Moneda 6 2 2 7 4" xfId="10739" xr:uid="{EF2094D2-BDA5-41A5-99F9-D3B7F2665C96}"/>
    <cellStyle name="Moneda 6 2 2 8" xfId="3282" xr:uid="{69CF6D20-54BD-4845-B48F-73EEB713F8C7}"/>
    <cellStyle name="Moneda 6 2 2 8 2" xfId="6286" xr:uid="{2E3751BC-0A8F-40C9-ADE8-D24D1EED5832}"/>
    <cellStyle name="Moneda 6 2 2 8 2 2" xfId="13847" xr:uid="{CA4A6E30-3DCA-4097-80CA-8EDEB9E69166}"/>
    <cellStyle name="Moneda 6 2 2 8 3" xfId="7690" xr:uid="{FDF49C11-3C56-4FAA-9A29-1F8F5BCA5559}"/>
    <cellStyle name="Moneda 6 2 2 8 3 2" xfId="15219" xr:uid="{20847709-CDD2-4F86-99AD-494BE6A0B045}"/>
    <cellStyle name="Moneda 6 2 2 8 4" xfId="10864" xr:uid="{9A9FB35C-B736-4880-B398-36A7582A7570}"/>
    <cellStyle name="Moneda 6 2 2 9" xfId="3410" xr:uid="{F7BC6834-B2EB-4A75-A27B-A722C49DDC57}"/>
    <cellStyle name="Moneda 6 2 2 9 2" xfId="6412" xr:uid="{EBF3F9E1-3A0D-44D0-A3A8-79D3651680ED}"/>
    <cellStyle name="Moneda 6 2 2 9 2 2" xfId="13973" xr:uid="{C0DF323F-ECCF-47C8-BDA9-B25003AFB036}"/>
    <cellStyle name="Moneda 6 2 2 9 3" xfId="7816" xr:uid="{CB5C7263-F9E0-413D-B02E-9988988823CD}"/>
    <cellStyle name="Moneda 6 2 2 9 3 2" xfId="15345" xr:uid="{1103AE3E-9C60-42C5-A849-EA79E680C11B}"/>
    <cellStyle name="Moneda 6 2 2 9 4" xfId="10990" xr:uid="{79A790CF-A4AA-46AD-A169-87029028D7B5}"/>
    <cellStyle name="Moneda 6 2 3" xfId="2483" xr:uid="{45936836-F18B-400B-B4FC-4C70B840602A}"/>
    <cellStyle name="Moneda 6 2 3 2" xfId="6625" xr:uid="{3A5B0ED8-6C26-4CA5-A9B7-BBA3DB6A37FA}"/>
    <cellStyle name="Moneda 6 2 3 2 2" xfId="8011" xr:uid="{28F65DD2-F644-45D6-8EDA-FECE63294947}"/>
    <cellStyle name="Moneda 6 2 3 2 2 2" xfId="15540" xr:uid="{123BBEE6-9BED-4BE5-8CA6-C10E1C33BB0F}"/>
    <cellStyle name="Moneda 6 2 3 2 3" xfId="14168" xr:uid="{A97DD1AB-613E-47C0-AE01-F430028BEA72}"/>
    <cellStyle name="Moneda 6 2 3 3" xfId="5489" xr:uid="{8E2A751A-2D36-49CC-80B3-7BDCC18C713E}"/>
    <cellStyle name="Moneda 6 2 3 3 2" xfId="13050" xr:uid="{4EDE6C79-91EB-47F8-8DBB-25771E08F40A}"/>
    <cellStyle name="Moneda 6 2 3 4" xfId="6893" xr:uid="{527AF1F5-0079-474B-B691-0AF86F7973A2}"/>
    <cellStyle name="Moneda 6 2 3 4 2" xfId="14422" xr:uid="{43901FF6-52B6-4D27-9224-AEFF394F1B55}"/>
    <cellStyle name="Moneda 6 2 3 5" xfId="10067" xr:uid="{D6F26F6C-52BC-4705-9169-AD39695C445F}"/>
    <cellStyle name="Moneda 6 2 4" xfId="2604" xr:uid="{4A38BF68-84E2-4EC0-AFBA-4C14EB53571B}"/>
    <cellStyle name="Moneda 6 2 4 2" xfId="5609" xr:uid="{6F581FD5-9A55-4A81-9763-B7E5419483E1}"/>
    <cellStyle name="Moneda 6 2 4 2 2" xfId="13170" xr:uid="{A1C09CBA-18D6-4B5F-B15B-EAF8D169AB99}"/>
    <cellStyle name="Moneda 6 2 4 3" xfId="7013" xr:uid="{8D79AE7F-74A7-4FD1-94ED-9013436CB685}"/>
    <cellStyle name="Moneda 6 2 4 3 2" xfId="14542" xr:uid="{E9529CB2-3951-41D5-9069-7665A4B997FF}"/>
    <cellStyle name="Moneda 6 2 4 4" xfId="10187" xr:uid="{691D6D62-D5D2-45E0-9FBB-EE0DF1D06C3D}"/>
    <cellStyle name="Moneda 6 2 5" xfId="2726" xr:uid="{66C6CF40-A99B-4C26-9871-044544EB4A05}"/>
    <cellStyle name="Moneda 6 2 5 2" xfId="5731" xr:uid="{7A0B2407-AF5A-4547-BB15-B060EB747B0D}"/>
    <cellStyle name="Moneda 6 2 5 2 2" xfId="13292" xr:uid="{4065138E-0AFF-4D14-945C-2C195A4A5B51}"/>
    <cellStyle name="Moneda 6 2 5 3" xfId="7135" xr:uid="{030D967A-4D8C-4F90-9004-3DFCDADF5858}"/>
    <cellStyle name="Moneda 6 2 5 3 2" xfId="14664" xr:uid="{13650A0E-0D30-433E-BC21-1E6FAE32A4AF}"/>
    <cellStyle name="Moneda 6 2 5 4" xfId="10309" xr:uid="{754D232C-8258-44D3-932A-8320F96E3A8B}"/>
    <cellStyle name="Moneda 6 2 6" xfId="2851" xr:uid="{9E54DF0D-455D-48C5-A243-D01A97CB2B96}"/>
    <cellStyle name="Moneda 6 2 6 2" xfId="5855" xr:uid="{F42B26CC-36BB-435C-9FC1-86499B9B5614}"/>
    <cellStyle name="Moneda 6 2 6 2 2" xfId="13416" xr:uid="{12E6F6A1-14DF-4198-BD32-4CADFE82D666}"/>
    <cellStyle name="Moneda 6 2 6 3" xfId="7259" xr:uid="{4F7EB3E5-D15F-435F-B523-405FA97ADDF5}"/>
    <cellStyle name="Moneda 6 2 6 3 2" xfId="14788" xr:uid="{A8AAA040-0129-4F2A-BF5B-41E0EF999B1E}"/>
    <cellStyle name="Moneda 6 2 6 4" xfId="10433" xr:uid="{496EBC42-0856-4003-852D-3FB4010EFC9D}"/>
    <cellStyle name="Moneda 6 2 7" xfId="2975" xr:uid="{58CC7036-F485-4EC5-83CC-091CA5D4AAAA}"/>
    <cellStyle name="Moneda 6 2 7 2" xfId="5979" xr:uid="{F0236B2A-6CA9-48E2-A877-4A8582F211A5}"/>
    <cellStyle name="Moneda 6 2 7 2 2" xfId="13540" xr:uid="{51B3F70B-94A2-4266-96C7-9D6AB99E7A1D}"/>
    <cellStyle name="Moneda 6 2 7 3" xfId="7383" xr:uid="{32D7E1F0-1EE4-4057-BE41-31884A0A8284}"/>
    <cellStyle name="Moneda 6 2 7 3 2" xfId="14912" xr:uid="{71AF27BC-47DB-4518-B9C7-32245EB29FF0}"/>
    <cellStyle name="Moneda 6 2 7 4" xfId="10557" xr:uid="{71D181F9-F3F9-460D-A3EE-98978A1DE2F2}"/>
    <cellStyle name="Moneda 6 2 8" xfId="3099" xr:uid="{10F20ABC-A4C1-4ACC-9CCE-E62A593DEB28}"/>
    <cellStyle name="Moneda 6 2 8 2" xfId="6103" xr:uid="{DDF7E8E1-E67C-458F-9E4E-6FEE99E05F85}"/>
    <cellStyle name="Moneda 6 2 8 2 2" xfId="13664" xr:uid="{6E856244-D148-4F28-B9BA-B74D7DF56501}"/>
    <cellStyle name="Moneda 6 2 8 3" xfId="7507" xr:uid="{0D6A64CF-8C6D-4DF8-AAAE-EFDEC577B886}"/>
    <cellStyle name="Moneda 6 2 8 3 2" xfId="15036" xr:uid="{062E6EC2-9D38-4DA3-85DF-24214263FC73}"/>
    <cellStyle name="Moneda 6 2 8 4" xfId="10681" xr:uid="{6726929A-BAFD-4523-A94B-530A70EDD0C4}"/>
    <cellStyle name="Moneda 6 2 9" xfId="3224" xr:uid="{83B750CC-6CA7-411A-B5DB-DFA4D309B9D2}"/>
    <cellStyle name="Moneda 6 2 9 2" xfId="6228" xr:uid="{8D6B210F-EDA4-4A9F-8ACF-5951622636FA}"/>
    <cellStyle name="Moneda 6 2 9 2 2" xfId="13789" xr:uid="{2BE0D997-5778-416F-B7B2-FDF98C7ED72F}"/>
    <cellStyle name="Moneda 6 2 9 3" xfId="7632" xr:uid="{513CE1B0-8178-47C2-AB28-98BFC7C0984C}"/>
    <cellStyle name="Moneda 6 2 9 3 2" xfId="15161" xr:uid="{13B4E8F1-D82E-47F6-8013-138A92EFBAC9}"/>
    <cellStyle name="Moneda 6 2 9 4" xfId="10806" xr:uid="{31C813B0-D443-462E-BA37-8F55AA8E8C4A}"/>
    <cellStyle name="Moneda 6 3" xfId="1433" xr:uid="{73D7D2C2-F3AD-43F3-93D0-1376050E11E6}"/>
    <cellStyle name="Moneda 6 3 10" xfId="2388" xr:uid="{FDFAEB8E-7D56-45BB-9A16-203A0AF4173B}"/>
    <cellStyle name="Moneda 6 3 10 2" xfId="6519" xr:uid="{3EC762AB-3C79-421E-B0AD-4E7ED08A94D8}"/>
    <cellStyle name="Moneda 6 3 10 2 2" xfId="14075" xr:uid="{20C07CCE-2A8F-4814-AD1E-0B13A5024C52}"/>
    <cellStyle name="Moneda 6 3 10 3" xfId="7918" xr:uid="{28B66D63-21D9-4CB3-A1D2-6B115358278D}"/>
    <cellStyle name="Moneda 6 3 10 3 2" xfId="15447" xr:uid="{000A6A61-D3E6-4664-B69D-673C99B1038F}"/>
    <cellStyle name="Moneda 6 3 10 4" xfId="9976" xr:uid="{CFE70565-4814-4C6D-8E90-10890DB0C9D3}"/>
    <cellStyle name="Moneda 6 3 11" xfId="4393" xr:uid="{8C89638F-B584-4FB5-A046-EB2A821D16ED}"/>
    <cellStyle name="Moneda 6 3 11 2" xfId="11961" xr:uid="{F83C37EE-E687-4A53-91EA-B2C1FA42687E}"/>
    <cellStyle name="Moneda 6 3 12" xfId="5398" xr:uid="{2125E383-9C2D-4688-B057-8A5273804343}"/>
    <cellStyle name="Moneda 6 3 12 2" xfId="12959" xr:uid="{A0453773-11DB-467B-B266-A00FCB7599A9}"/>
    <cellStyle name="Moneda 6 3 13" xfId="6802" xr:uid="{EE9985CF-2ABE-4E7D-AB53-009FEA582A6C}"/>
    <cellStyle name="Moneda 6 3 13 2" xfId="14331" xr:uid="{AA10A18D-DDCF-4491-8D07-A6B9FAEDB6E5}"/>
    <cellStyle name="Moneda 6 3 14" xfId="9041" xr:uid="{5A9A5FFB-1E10-4F7F-85C7-120DE76DFB14}"/>
    <cellStyle name="Moneda 6 3 2" xfId="2512" xr:uid="{D339EA34-CB0B-4DAC-A85D-32179350E95A}"/>
    <cellStyle name="Moneda 6 3 2 2" xfId="6654" xr:uid="{C696E12D-4994-4ABA-A9F2-4D846BBD0257}"/>
    <cellStyle name="Moneda 6 3 2 2 2" xfId="8040" xr:uid="{0067A01A-03FA-47B7-98F7-B56CD0487618}"/>
    <cellStyle name="Moneda 6 3 2 2 2 2" xfId="15569" xr:uid="{BECC1AF6-4B28-438A-AC18-D1BD63C4E988}"/>
    <cellStyle name="Moneda 6 3 2 2 3" xfId="14197" xr:uid="{115CA182-BCCF-4B52-9A66-991D54BDCA67}"/>
    <cellStyle name="Moneda 6 3 2 3" xfId="5518" xr:uid="{48E20B0F-D803-406F-BBE5-7AA6661E6382}"/>
    <cellStyle name="Moneda 6 3 2 3 2" xfId="13079" xr:uid="{4591CAA6-A9D2-4082-B174-E41ABF328F1A}"/>
    <cellStyle name="Moneda 6 3 2 4" xfId="6922" xr:uid="{0799AB2E-E4A5-4514-8469-53C237A91595}"/>
    <cellStyle name="Moneda 6 3 2 4 2" xfId="14451" xr:uid="{F0ABFACC-F222-4275-ADC4-8D29086782CE}"/>
    <cellStyle name="Moneda 6 3 2 5" xfId="10096" xr:uid="{C4887686-5BD9-4723-A4B5-43365116E9C6}"/>
    <cellStyle name="Moneda 6 3 3" xfId="2633" xr:uid="{45BD2766-3F87-4D84-8612-D9396F4DC7DB}"/>
    <cellStyle name="Moneda 6 3 3 2" xfId="5638" xr:uid="{75C2FA0E-01AD-4218-AC2C-C1D6497B072E}"/>
    <cellStyle name="Moneda 6 3 3 2 2" xfId="13199" xr:uid="{94581C31-B7A9-4AC6-909E-578C36A3CB54}"/>
    <cellStyle name="Moneda 6 3 3 3" xfId="7042" xr:uid="{EB110720-6333-45A7-AF16-8F1BD8C808E0}"/>
    <cellStyle name="Moneda 6 3 3 3 2" xfId="14571" xr:uid="{2F9EF16F-4B60-41BE-BF84-57F5149E700A}"/>
    <cellStyle name="Moneda 6 3 3 4" xfId="10216" xr:uid="{77A53F8A-F048-4F98-B716-180AFBB6CA36}"/>
    <cellStyle name="Moneda 6 3 4" xfId="2755" xr:uid="{FB2078FF-3827-4FBB-8FFC-8301BF80B0EB}"/>
    <cellStyle name="Moneda 6 3 4 2" xfId="5760" xr:uid="{2DB0C48B-4699-4EE6-B4BA-3B68032356CA}"/>
    <cellStyle name="Moneda 6 3 4 2 2" xfId="13321" xr:uid="{4C344116-418A-4C88-B1B5-30A3CDB13A83}"/>
    <cellStyle name="Moneda 6 3 4 3" xfId="7164" xr:uid="{D9F7DEE8-4437-4D27-88A2-F90F582FEB19}"/>
    <cellStyle name="Moneda 6 3 4 3 2" xfId="14693" xr:uid="{C564FC13-B904-4B78-BE78-5BC2528C8CF6}"/>
    <cellStyle name="Moneda 6 3 4 4" xfId="10338" xr:uid="{199363A8-EE87-4074-9E57-72971973A1B5}"/>
    <cellStyle name="Moneda 6 3 5" xfId="2880" xr:uid="{385EA991-88C3-4ED1-A9A9-70666E44117A}"/>
    <cellStyle name="Moneda 6 3 5 2" xfId="5884" xr:uid="{26EC25A6-F061-476E-BD85-0135F995BD12}"/>
    <cellStyle name="Moneda 6 3 5 2 2" xfId="13445" xr:uid="{070996ED-9C1E-4E9F-987C-B777437C025D}"/>
    <cellStyle name="Moneda 6 3 5 3" xfId="7288" xr:uid="{5F796333-6819-45BF-A743-1F31CF1F9EEA}"/>
    <cellStyle name="Moneda 6 3 5 3 2" xfId="14817" xr:uid="{C81CF5C6-6F4C-4ED9-95F0-1EC7E976285D}"/>
    <cellStyle name="Moneda 6 3 5 4" xfId="10462" xr:uid="{276273B8-30FD-4D43-AA82-167D5E1F5283}"/>
    <cellStyle name="Moneda 6 3 6" xfId="3004" xr:uid="{3DC732A9-5A92-415D-BEBF-D9968EB86923}"/>
    <cellStyle name="Moneda 6 3 6 2" xfId="6008" xr:uid="{42C928AE-14C1-4996-A59B-C4E574F9A336}"/>
    <cellStyle name="Moneda 6 3 6 2 2" xfId="13569" xr:uid="{7256BEB6-3AAA-49EF-8B75-94EED5D15E89}"/>
    <cellStyle name="Moneda 6 3 6 3" xfId="7412" xr:uid="{0A6B0620-CA03-4A14-BAE9-0645ADE8F290}"/>
    <cellStyle name="Moneda 6 3 6 3 2" xfId="14941" xr:uid="{9712436D-6E53-4F94-9CB4-2A12DA0791FA}"/>
    <cellStyle name="Moneda 6 3 6 4" xfId="10586" xr:uid="{717BAE30-43E8-4145-83F2-DA0CB0FAD833}"/>
    <cellStyle name="Moneda 6 3 7" xfId="3128" xr:uid="{469793FD-D129-4AED-84A9-FF0CE434550E}"/>
    <cellStyle name="Moneda 6 3 7 2" xfId="6132" xr:uid="{A36C23FC-9125-405D-BDAD-E25226A1FFA6}"/>
    <cellStyle name="Moneda 6 3 7 2 2" xfId="13693" xr:uid="{70D3A319-121C-4A65-A3A8-50C3397E0A77}"/>
    <cellStyle name="Moneda 6 3 7 3" xfId="7536" xr:uid="{C2024DB4-5833-4E30-94BA-7F5D070ED679}"/>
    <cellStyle name="Moneda 6 3 7 3 2" xfId="15065" xr:uid="{31A09A57-5A6F-42F7-8C11-D74D851C5AFC}"/>
    <cellStyle name="Moneda 6 3 7 4" xfId="10710" xr:uid="{C8B7F75C-2D05-476A-8011-DB1F6DEE3B92}"/>
    <cellStyle name="Moneda 6 3 8" xfId="3253" xr:uid="{947B6484-DB7A-4E00-9F6C-6F1846ECC766}"/>
    <cellStyle name="Moneda 6 3 8 2" xfId="6257" xr:uid="{DDF3435F-12BC-43ED-9D73-FF805D07DB60}"/>
    <cellStyle name="Moneda 6 3 8 2 2" xfId="13818" xr:uid="{715BF79E-118F-486A-BF17-707FFB3B3979}"/>
    <cellStyle name="Moneda 6 3 8 3" xfId="7661" xr:uid="{1D8566F1-3476-463F-8EE0-8964E61ED507}"/>
    <cellStyle name="Moneda 6 3 8 3 2" xfId="15190" xr:uid="{165848D1-FBDB-43E9-9553-D6ACC9B3B128}"/>
    <cellStyle name="Moneda 6 3 8 4" xfId="10835" xr:uid="{155BA174-137A-4752-B616-6FB420DDC356}"/>
    <cellStyle name="Moneda 6 3 9" xfId="3381" xr:uid="{64E89DDE-A4F6-4E41-880D-A42E7B2B0BDF}"/>
    <cellStyle name="Moneda 6 3 9 2" xfId="6383" xr:uid="{59E2DE16-17D2-45B0-80BD-4E66B8F63D94}"/>
    <cellStyle name="Moneda 6 3 9 2 2" xfId="13944" xr:uid="{85631DBF-19B9-41D8-B245-2134AB03D04C}"/>
    <cellStyle name="Moneda 6 3 9 3" xfId="7787" xr:uid="{DFEEC42D-250C-49FB-A42D-B0D7FC54DEA2}"/>
    <cellStyle name="Moneda 6 3 9 3 2" xfId="15316" xr:uid="{68B96587-B9B4-4140-B982-64711311728C}"/>
    <cellStyle name="Moneda 6 3 9 4" xfId="10961" xr:uid="{5D2514BF-91DB-4EB6-B071-6D51890685A1}"/>
    <cellStyle name="Moneda 6 4" xfId="1812" xr:uid="{2A9BF908-C43C-49F8-8D49-40ECBE60BEA8}"/>
    <cellStyle name="Moneda 6 4 2" xfId="2453" xr:uid="{C7A2CC7D-8C30-46D4-B9EE-3B8941D97ECF}"/>
    <cellStyle name="Moneda 6 4 2 2" xfId="6586" xr:uid="{0F1E6484-D285-4C03-831A-465FF92C5E01}"/>
    <cellStyle name="Moneda 6 4 2 2 2" xfId="14139" xr:uid="{85B03B80-667B-4933-81E0-E07EB1C7FF76}"/>
    <cellStyle name="Moneda 6 4 2 3" xfId="7982" xr:uid="{C74852C5-17FC-43EE-A5F5-DE0E484732CA}"/>
    <cellStyle name="Moneda 6 4 2 3 2" xfId="15511" xr:uid="{BA1255B7-4E51-4718-8469-4A043E36E63E}"/>
    <cellStyle name="Moneda 6 4 2 4" xfId="10037" xr:uid="{E637379D-AAD8-4EE6-B903-35EF92CC8FAE}"/>
    <cellStyle name="Moneda 6 4 3" xfId="4771" xr:uid="{7F708DDC-F5BF-41AE-B748-5D3CEDB91C8F}"/>
    <cellStyle name="Moneda 6 4 3 2" xfId="12339" xr:uid="{F2169AF5-60AF-4119-B59E-4EDAA29CD06A}"/>
    <cellStyle name="Moneda 6 4 4" xfId="5459" xr:uid="{0EBAB8D3-E0E1-420E-9F06-404EC68197DC}"/>
    <cellStyle name="Moneda 6 4 4 2" xfId="13020" xr:uid="{C63C676C-2E54-46A1-99F3-F41F63C4BE7E}"/>
    <cellStyle name="Moneda 6 4 5" xfId="6863" xr:uid="{74D54BF7-4D89-48D9-8623-881F977EA5BB}"/>
    <cellStyle name="Moneda 6 4 5 2" xfId="14392" xr:uid="{526F0EAA-EC21-4AE1-A4EC-1A0908ABABB6}"/>
    <cellStyle name="Moneda 6 4 6" xfId="9419" xr:uid="{509192AD-D11C-4055-BD7B-98791377D928}"/>
    <cellStyle name="Moneda 6 5" xfId="2575" xr:uid="{BF6B019F-90D4-4519-BF1A-4A2EEAAE8D3D}"/>
    <cellStyle name="Moneda 6 5 2" xfId="5580" xr:uid="{2CEE3939-728F-4A4E-AAC0-B304E15466D8}"/>
    <cellStyle name="Moneda 6 5 2 2" xfId="13141" xr:uid="{708FC708-4DA8-4C09-AA69-9622EF8AE683}"/>
    <cellStyle name="Moneda 6 5 3" xfId="6984" xr:uid="{9244D827-26FA-4A61-A6EF-E89C8A1AC4F6}"/>
    <cellStyle name="Moneda 6 5 3 2" xfId="14513" xr:uid="{8F086382-0AB8-4F75-8C92-A09E83520912}"/>
    <cellStyle name="Moneda 6 5 4" xfId="10158" xr:uid="{89D8962B-7649-4256-A1E3-02BC4AEE0D44}"/>
    <cellStyle name="Moneda 6 6" xfId="2697" xr:uid="{F5B4047B-F9D8-4E4A-918B-66FA6B73855B}"/>
    <cellStyle name="Moneda 6 6 2" xfId="5702" xr:uid="{4414C453-2C06-43C1-922D-55793F86D46C}"/>
    <cellStyle name="Moneda 6 6 2 2" xfId="13263" xr:uid="{46F527AB-79CD-433C-B193-EA28AD5AD5C7}"/>
    <cellStyle name="Moneda 6 6 3" xfId="7106" xr:uid="{1BAF64A0-D9B7-4CD5-B987-DC108634F396}"/>
    <cellStyle name="Moneda 6 6 3 2" xfId="14635" xr:uid="{4C96D0DD-6513-4E14-8360-C0473DB1B3EE}"/>
    <cellStyle name="Moneda 6 6 4" xfId="10280" xr:uid="{2B19AF73-E885-47F7-8436-E2ECD4DB7FEF}"/>
    <cellStyle name="Moneda 6 7" xfId="2822" xr:uid="{CA99DE4A-2B8B-4137-A1C6-C0557AF2D5D8}"/>
    <cellStyle name="Moneda 6 7 2" xfId="5826" xr:uid="{BE63BFE2-4735-44AC-9904-4D43CE719840}"/>
    <cellStyle name="Moneda 6 7 2 2" xfId="13387" xr:uid="{CF00888B-A859-4DC3-90CC-F872732418BE}"/>
    <cellStyle name="Moneda 6 7 3" xfId="7230" xr:uid="{9CF1BAAB-2696-473B-9C44-566E03D8D993}"/>
    <cellStyle name="Moneda 6 7 3 2" xfId="14759" xr:uid="{83EDC084-3A4B-4D68-B70A-62FAD9D7F7C3}"/>
    <cellStyle name="Moneda 6 7 4" xfId="10404" xr:uid="{CE35F492-7B86-4DAC-8A19-ABC3E7B21630}"/>
    <cellStyle name="Moneda 6 8" xfId="2946" xr:uid="{BFAF3A3E-E39A-48A7-87D1-9010FB9237F2}"/>
    <cellStyle name="Moneda 6 8 2" xfId="5950" xr:uid="{43E834F8-1A9A-4BBD-A75D-79D4B5AD238F}"/>
    <cellStyle name="Moneda 6 8 2 2" xfId="13511" xr:uid="{70FEF4AB-1A06-4E2D-891A-F9BC9FE65A57}"/>
    <cellStyle name="Moneda 6 8 3" xfId="7354" xr:uid="{36D7CAE5-87CF-4651-8956-49C4313B275C}"/>
    <cellStyle name="Moneda 6 8 3 2" xfId="14883" xr:uid="{8E323B7E-A7E6-4916-92B5-24C8301CE826}"/>
    <cellStyle name="Moneda 6 8 4" xfId="10528" xr:uid="{874AB7F1-B06B-456E-8150-2BD5235A9795}"/>
    <cellStyle name="Moneda 6 9" xfId="3070" xr:uid="{8C563A24-1697-47A9-ABEF-48FEDA800CF8}"/>
    <cellStyle name="Moneda 6 9 2" xfId="6074" xr:uid="{F5CEBBE1-9AB0-4BC4-9C1E-D565A6930B8D}"/>
    <cellStyle name="Moneda 6 9 2 2" xfId="13635" xr:uid="{C47AE874-0E83-48B9-87E7-9AAF8E1484FD}"/>
    <cellStyle name="Moneda 6 9 3" xfId="7478" xr:uid="{5494AEBD-926F-4B22-A62E-8D341C3109B5}"/>
    <cellStyle name="Moneda 6 9 3 2" xfId="15007" xr:uid="{1DF4011F-CA1B-4108-A908-8B9BC55C9B4F}"/>
    <cellStyle name="Moneda 6 9 4" xfId="10652" xr:uid="{C82F8C9D-EB6D-420A-BEF0-0178CA323B78}"/>
    <cellStyle name="Moneda 60" xfId="364" xr:uid="{2EEEAA05-15AC-4400-B9E0-3F38E300A18F}"/>
    <cellStyle name="Moneda 60 2" xfId="1177" xr:uid="{C36A6524-BF9E-4101-B1FF-2E78032655EC}"/>
    <cellStyle name="Moneda 60 2 2" xfId="4137" xr:uid="{7D1FC983-D127-485B-A1A0-2298BA7643F7}"/>
    <cellStyle name="Moneda 60 2 2 2" xfId="11705" xr:uid="{11045DE6-4E0C-4755-A96B-C745C4724543}"/>
    <cellStyle name="Moneda 60 2 3" xfId="8785" xr:uid="{464526BC-C582-4850-BD38-8CC129698B4B}"/>
    <cellStyle name="Moneda 60 3" xfId="1541" xr:uid="{94D9795F-AB63-481D-8956-0A69AAD2EAD0}"/>
    <cellStyle name="Moneda 60 3 2" xfId="4501" xr:uid="{AADB57A3-833E-4328-9DB8-E0291A9C35A2}"/>
    <cellStyle name="Moneda 60 3 2 2" xfId="12069" xr:uid="{C93D6E70-39F1-4017-BAB9-C0249FFDEE7E}"/>
    <cellStyle name="Moneda 60 3 3" xfId="9149" xr:uid="{D1B44520-E682-432F-8B36-C78F6E6C6FC2}"/>
    <cellStyle name="Moneda 60 4" xfId="1920" xr:uid="{54EE1AC6-42F9-499E-95AB-91A9E595EA38}"/>
    <cellStyle name="Moneda 60 4 2" xfId="4879" xr:uid="{4511E9D7-B32E-439F-9DAF-4C9DE9E0A4AD}"/>
    <cellStyle name="Moneda 60 4 2 2" xfId="12447" xr:uid="{57C574F0-C540-4401-8A42-5B663C4A6D7F}"/>
    <cellStyle name="Moneda 60 4 3" xfId="9527" xr:uid="{80C6E684-6D9A-4508-A5EA-6235CB55986E}"/>
    <cellStyle name="Moneda 60 5" xfId="3606" xr:uid="{FD63C763-470A-42CB-8BC2-36E10704BC4C}"/>
    <cellStyle name="Moneda 60 5 2" xfId="11174" xr:uid="{5EE7DF9C-9581-4D2D-8CAE-2C92A641DA24}"/>
    <cellStyle name="Moneda 60 6" xfId="8254" xr:uid="{DF48C237-24D8-4566-8C79-22AAA7D224E6}"/>
    <cellStyle name="Moneda 61" xfId="367" xr:uid="{E5DAFB0F-E4E5-404F-A681-707C2285321E}"/>
    <cellStyle name="Moneda 61 2" xfId="1179" xr:uid="{7FAF517B-7B0C-43C1-9BFB-EABB57908462}"/>
    <cellStyle name="Moneda 61 2 2" xfId="4139" xr:uid="{43ED1F8C-2EE4-441C-BCE0-07C6B1614511}"/>
    <cellStyle name="Moneda 61 2 2 2" xfId="11707" xr:uid="{4C266ABA-A823-4E87-B995-6958EBB5F43B}"/>
    <cellStyle name="Moneda 61 2 3" xfId="8787" xr:uid="{2C5F299D-05F8-439F-8953-7DD113B6D337}"/>
    <cellStyle name="Moneda 61 3" xfId="1543" xr:uid="{20FE8532-06F7-41CA-A783-91A16FCC9962}"/>
    <cellStyle name="Moneda 61 3 2" xfId="4503" xr:uid="{18296B93-C89B-412D-AA10-079B5A7AEEEB}"/>
    <cellStyle name="Moneda 61 3 2 2" xfId="12071" xr:uid="{BE79F730-9515-4F97-AAFD-FDFB767410A2}"/>
    <cellStyle name="Moneda 61 3 3" xfId="9151" xr:uid="{0740386C-A8A0-49DC-BA15-5E6D6F7C40FD}"/>
    <cellStyle name="Moneda 61 4" xfId="1922" xr:uid="{82EA35AC-AA81-4C75-B991-47D1441ABCF1}"/>
    <cellStyle name="Moneda 61 4 2" xfId="4881" xr:uid="{F3FD1C8C-6969-4E0B-901C-5612F524FD57}"/>
    <cellStyle name="Moneda 61 4 2 2" xfId="12449" xr:uid="{EB0AE999-BA75-4DF9-9C5E-326849DB5FA3}"/>
    <cellStyle name="Moneda 61 4 3" xfId="9529" xr:uid="{4F083852-8A00-4F5E-8187-EB268FCE9BD5}"/>
    <cellStyle name="Moneda 61 5" xfId="3608" xr:uid="{90CC3E89-7BFA-456B-A935-58632307696E}"/>
    <cellStyle name="Moneda 61 5 2" xfId="11176" xr:uid="{92091710-14F4-473A-AA30-E422BDE617D2}"/>
    <cellStyle name="Moneda 61 6" xfId="8256" xr:uid="{EC7A31F4-07AA-44BE-B0A8-B63B38918684}"/>
    <cellStyle name="Moneda 62" xfId="370" xr:uid="{F2085791-CA9D-42F4-8884-CB9462B9E62D}"/>
    <cellStyle name="Moneda 62 2" xfId="1181" xr:uid="{8DF49134-9152-4C26-9799-6FF5EA26F8AF}"/>
    <cellStyle name="Moneda 62 2 2" xfId="4141" xr:uid="{41DDD23F-533D-4064-A7AA-54BBA6EEB6DD}"/>
    <cellStyle name="Moneda 62 2 2 2" xfId="11709" xr:uid="{A4B4AEDD-AFCC-49BF-B6DC-1AFC87D73CA5}"/>
    <cellStyle name="Moneda 62 2 3" xfId="8789" xr:uid="{D76107EF-6DF7-4CF5-B355-E7D6AC913781}"/>
    <cellStyle name="Moneda 62 3" xfId="1545" xr:uid="{5C2A0B89-12BE-4215-8C51-7184F9D4D9EF}"/>
    <cellStyle name="Moneda 62 3 2" xfId="4505" xr:uid="{11804034-E512-4AA4-925D-715F7FD50242}"/>
    <cellStyle name="Moneda 62 3 2 2" xfId="12073" xr:uid="{A773768A-C866-4BD3-A13F-9035E4BF5136}"/>
    <cellStyle name="Moneda 62 3 3" xfId="9153" xr:uid="{4053DF8C-6F87-4987-AFBD-8B75F6EA4E53}"/>
    <cellStyle name="Moneda 62 4" xfId="1924" xr:uid="{5E8CFB13-D0D7-4E57-BAD1-102A493382C3}"/>
    <cellStyle name="Moneda 62 4 2" xfId="4883" xr:uid="{2B46462F-4A35-4A71-9A45-E8A04D456D55}"/>
    <cellStyle name="Moneda 62 4 2 2" xfId="12451" xr:uid="{9ADCA8E5-3B77-4079-A4AD-25F455D83CEB}"/>
    <cellStyle name="Moneda 62 4 3" xfId="9531" xr:uid="{03353420-DCBC-4CEC-A24A-B30555C73619}"/>
    <cellStyle name="Moneda 62 5" xfId="3610" xr:uid="{8CC59C69-B2D5-4972-BE16-CEF60D0CFC04}"/>
    <cellStyle name="Moneda 62 5 2" xfId="11178" xr:uid="{C3D819F6-8AC6-4A7A-BCCF-626ADAEEFBB2}"/>
    <cellStyle name="Moneda 62 6" xfId="8258" xr:uid="{7FFC4B17-338C-41F3-A18E-0B92F8EBFB55}"/>
    <cellStyle name="Moneda 63" xfId="373" xr:uid="{0BF26079-1C40-4F8F-87B0-2B50C754A18F}"/>
    <cellStyle name="Moneda 63 2" xfId="1183" xr:uid="{E65D133F-2198-42CF-B21E-914BBDD2EE55}"/>
    <cellStyle name="Moneda 63 2 2" xfId="4143" xr:uid="{9A9D6B7A-CE61-4338-B609-225E5013859F}"/>
    <cellStyle name="Moneda 63 2 2 2" xfId="11711" xr:uid="{FA24D900-9CCB-4583-A347-CC7AF729BD55}"/>
    <cellStyle name="Moneda 63 2 3" xfId="8791" xr:uid="{357DC37C-EC8E-48B8-AE3C-E9CE51C43896}"/>
    <cellStyle name="Moneda 63 3" xfId="1547" xr:uid="{D5C8E7BD-B5B1-4231-8B48-5B69F5B973CB}"/>
    <cellStyle name="Moneda 63 3 2" xfId="4507" xr:uid="{3D53A988-C31F-4001-A672-A6B6B6D7F9FF}"/>
    <cellStyle name="Moneda 63 3 2 2" xfId="12075" xr:uid="{A728292E-BD9C-4F9C-A1A9-5B64C13D5A82}"/>
    <cellStyle name="Moneda 63 3 3" xfId="9155" xr:uid="{19F71BB6-43FC-4D96-9110-32E3604C47DF}"/>
    <cellStyle name="Moneda 63 4" xfId="1926" xr:uid="{77A87906-044F-46D1-AD8F-AAE361736962}"/>
    <cellStyle name="Moneda 63 4 2" xfId="4885" xr:uid="{B2F1E35C-AADE-436E-ACB4-603753FECD19}"/>
    <cellStyle name="Moneda 63 4 2 2" xfId="12453" xr:uid="{3041E2B2-64F5-46DA-8111-1B2206AF72B7}"/>
    <cellStyle name="Moneda 63 4 3" xfId="9533" xr:uid="{38E61F6F-3E57-4FB5-9645-FE3FE82C8302}"/>
    <cellStyle name="Moneda 63 5" xfId="3612" xr:uid="{7E9DBA07-5BB5-422D-B8E7-A2F4896C8025}"/>
    <cellStyle name="Moneda 63 5 2" xfId="11180" xr:uid="{57A20A79-D7F6-4BE5-9B55-BC1DB34175C8}"/>
    <cellStyle name="Moneda 63 6" xfId="8260" xr:uid="{F15822DE-95DF-40BF-980D-ED0896ECB890}"/>
    <cellStyle name="Moneda 64" xfId="376" xr:uid="{288E00A1-2560-44FC-A0AA-419CF122BEF9}"/>
    <cellStyle name="Moneda 64 2" xfId="1185" xr:uid="{0B253FE7-6857-4E46-891D-EEE529CB8766}"/>
    <cellStyle name="Moneda 64 2 2" xfId="4145" xr:uid="{D2129B11-3309-4507-A990-CEB9300876AC}"/>
    <cellStyle name="Moneda 64 2 2 2" xfId="11713" xr:uid="{4BAC0208-C6B2-43FE-89B9-B9D1C72F498A}"/>
    <cellStyle name="Moneda 64 2 3" xfId="8793" xr:uid="{D725AC82-ACE4-4327-8750-D8D11567C44F}"/>
    <cellStyle name="Moneda 64 3" xfId="1549" xr:uid="{4CD9F63D-8603-4D9B-B2E9-F9E6418D10CF}"/>
    <cellStyle name="Moneda 64 3 2" xfId="4509" xr:uid="{B72DA995-5CFC-45C7-9E00-5C67F92C4631}"/>
    <cellStyle name="Moneda 64 3 2 2" xfId="12077" xr:uid="{DD21F232-F604-41AA-8055-FB9367A25C95}"/>
    <cellStyle name="Moneda 64 3 3" xfId="9157" xr:uid="{DF6B1F6D-CEBE-48E2-B991-750B5FABFE96}"/>
    <cellStyle name="Moneda 64 4" xfId="1928" xr:uid="{7D75C97A-5915-4B4B-9CFC-F2E7712F06A3}"/>
    <cellStyle name="Moneda 64 4 2" xfId="4887" xr:uid="{75C353FC-A710-4BCD-974B-A605CEFFD124}"/>
    <cellStyle name="Moneda 64 4 2 2" xfId="12455" xr:uid="{89516C34-19C2-460B-B72C-4363A4E4E275}"/>
    <cellStyle name="Moneda 64 4 3" xfId="9535" xr:uid="{A31A491C-AB2A-4D54-A9D1-29D5E0D288D7}"/>
    <cellStyle name="Moneda 64 5" xfId="3614" xr:uid="{F4A0F604-C362-4EC0-89FB-0509C8F691D9}"/>
    <cellStyle name="Moneda 64 5 2" xfId="11182" xr:uid="{11E67F22-E28E-4A2E-ADF0-AA6B2BFE0961}"/>
    <cellStyle name="Moneda 64 6" xfId="8262" xr:uid="{3EFFBDCC-730F-4B70-9894-C55FA8E00897}"/>
    <cellStyle name="Moneda 65" xfId="379" xr:uid="{26C5544D-F5B6-403C-AC7D-47DEE7D520B0}"/>
    <cellStyle name="Moneda 65 2" xfId="1187" xr:uid="{C44D1E9E-770D-48B9-99C6-8339E95B1375}"/>
    <cellStyle name="Moneda 65 2 2" xfId="4147" xr:uid="{94E9F88F-4D54-4751-986F-3ED196BFEBDF}"/>
    <cellStyle name="Moneda 65 2 2 2" xfId="11715" xr:uid="{1B8950F2-353F-4626-AA75-89CCE9BD83B7}"/>
    <cellStyle name="Moneda 65 2 3" xfId="8795" xr:uid="{1EB53BD3-A919-4462-8491-C0A77FCBAB2E}"/>
    <cellStyle name="Moneda 65 3" xfId="1551" xr:uid="{9F2B15D0-FC91-4410-884E-1A5AE968634E}"/>
    <cellStyle name="Moneda 65 3 2" xfId="4511" xr:uid="{0451AD9A-3203-4561-933C-9C67B3FA1592}"/>
    <cellStyle name="Moneda 65 3 2 2" xfId="12079" xr:uid="{4B72297B-00B9-4556-B613-1FE301C97B10}"/>
    <cellStyle name="Moneda 65 3 3" xfId="9159" xr:uid="{75FBECA4-38E6-4501-867D-4DFF2633B4E9}"/>
    <cellStyle name="Moneda 65 4" xfId="1930" xr:uid="{B4EA687E-EFFD-4CA8-BA42-DBD36ACA512F}"/>
    <cellStyle name="Moneda 65 4 2" xfId="4889" xr:uid="{AA28DD81-4F57-44F7-B7F4-BD612C754D6D}"/>
    <cellStyle name="Moneda 65 4 2 2" xfId="12457" xr:uid="{3627FAF1-F634-4996-B1C6-508ED6CDA545}"/>
    <cellStyle name="Moneda 65 4 3" xfId="9537" xr:uid="{8759CF60-85D8-472B-AE0D-D05A39AB1281}"/>
    <cellStyle name="Moneda 65 5" xfId="3616" xr:uid="{E9CB8537-8326-4C0C-AD92-9FCDEEC5DD2E}"/>
    <cellStyle name="Moneda 65 5 2" xfId="11184" xr:uid="{A78A415E-A3B5-4ABB-81BB-C0EDC8429A39}"/>
    <cellStyle name="Moneda 65 6" xfId="8264" xr:uid="{25EAC118-73B1-4050-A5D6-530ED760A5FC}"/>
    <cellStyle name="Moneda 66" xfId="382" xr:uid="{309A0705-3ADB-4740-822D-424111883E75}"/>
    <cellStyle name="Moneda 66 2" xfId="1189" xr:uid="{98F041E9-D852-4820-9488-1144A23794A0}"/>
    <cellStyle name="Moneda 66 2 2" xfId="4149" xr:uid="{270885DE-793A-4B78-B341-915B9EEA48A4}"/>
    <cellStyle name="Moneda 66 2 2 2" xfId="11717" xr:uid="{FF651AAD-CD8C-449E-B846-97B31A36DB4D}"/>
    <cellStyle name="Moneda 66 2 3" xfId="8797" xr:uid="{EFE5477E-5691-47AB-B44D-D6BB5AEB7EA5}"/>
    <cellStyle name="Moneda 66 3" xfId="1553" xr:uid="{27FBD9DE-B88B-48E7-89BD-245B5CD8AFF6}"/>
    <cellStyle name="Moneda 66 3 2" xfId="4513" xr:uid="{EA487083-1F69-4AB9-B88B-AF72F0D7D8D8}"/>
    <cellStyle name="Moneda 66 3 2 2" xfId="12081" xr:uid="{55804AD8-8100-43CA-AFE5-F113DB5C3FBB}"/>
    <cellStyle name="Moneda 66 3 3" xfId="9161" xr:uid="{055F931A-2281-4353-B7A3-891AC40F9B4C}"/>
    <cellStyle name="Moneda 66 4" xfId="1932" xr:uid="{FB3EDA26-7684-4512-B09C-61295A3F3C77}"/>
    <cellStyle name="Moneda 66 4 2" xfId="4891" xr:uid="{3E1C00B3-0D6E-49DE-965B-04876AD04D7A}"/>
    <cellStyle name="Moneda 66 4 2 2" xfId="12459" xr:uid="{25914A75-DA14-4974-B551-22F645B54A9C}"/>
    <cellStyle name="Moneda 66 4 3" xfId="9539" xr:uid="{09F8546B-0BBD-4EB3-9DB7-FF83874E455A}"/>
    <cellStyle name="Moneda 66 5" xfId="3618" xr:uid="{1321384C-8E89-4E96-87D9-D0745AB90B28}"/>
    <cellStyle name="Moneda 66 5 2" xfId="11186" xr:uid="{7C8DFF9D-D80F-4C2D-BFDB-04B14674B419}"/>
    <cellStyle name="Moneda 66 6" xfId="8266" xr:uid="{2302B2BC-C089-45EB-8249-4BD19BD49E02}"/>
    <cellStyle name="Moneda 67" xfId="385" xr:uid="{0A25B374-5C40-428C-8828-BF0EA4EA8874}"/>
    <cellStyle name="Moneda 67 2" xfId="1191" xr:uid="{CED312A2-CFD0-4FAB-BA13-14CF56DBAB95}"/>
    <cellStyle name="Moneda 67 2 2" xfId="4151" xr:uid="{4A1C9A5D-D9FF-43A1-B437-9B32EF3BCF15}"/>
    <cellStyle name="Moneda 67 2 2 2" xfId="11719" xr:uid="{8D257C0F-94B2-4C40-B901-D6B87C1B8D9E}"/>
    <cellStyle name="Moneda 67 2 3" xfId="8799" xr:uid="{8BE5BB39-9A6E-4B53-B95F-F00434AE5451}"/>
    <cellStyle name="Moneda 67 3" xfId="1555" xr:uid="{33D4E8C2-035D-4E3A-875E-B4EC1A7B3197}"/>
    <cellStyle name="Moneda 67 3 2" xfId="4515" xr:uid="{A4C984EB-FFBE-4BAD-8D1C-E4A9FDF34E32}"/>
    <cellStyle name="Moneda 67 3 2 2" xfId="12083" xr:uid="{D0A2831E-4421-4590-BE8E-790859BAA941}"/>
    <cellStyle name="Moneda 67 3 3" xfId="9163" xr:uid="{088605D9-BEEC-4DB3-8E80-E6944FB3AD3B}"/>
    <cellStyle name="Moneda 67 4" xfId="1934" xr:uid="{AD9218D7-5D86-4C6B-A126-0846E34B915C}"/>
    <cellStyle name="Moneda 67 4 2" xfId="4893" xr:uid="{73B35BDC-572E-4389-90C0-DC095F68C9CF}"/>
    <cellStyle name="Moneda 67 4 2 2" xfId="12461" xr:uid="{ABC18B05-7436-46AE-B45B-B43BA9CE017B}"/>
    <cellStyle name="Moneda 67 4 3" xfId="9541" xr:uid="{B0A082D7-BB89-4C87-9DC1-B0B8D0478240}"/>
    <cellStyle name="Moneda 67 5" xfId="3620" xr:uid="{B16A16AD-DC38-476C-B9F0-7251280D7138}"/>
    <cellStyle name="Moneda 67 5 2" xfId="11188" xr:uid="{9075EAF9-D5EC-42E0-A22C-35465D3AF8F1}"/>
    <cellStyle name="Moneda 67 6" xfId="8268" xr:uid="{C94CB281-ABB0-49D8-86A2-9CB89376B312}"/>
    <cellStyle name="Moneda 68" xfId="388" xr:uid="{1D67C3B6-ED98-4265-B0AA-933CCD224747}"/>
    <cellStyle name="Moneda 68 2" xfId="1193" xr:uid="{96763F0A-2C9E-4815-8986-C6A4850A26F2}"/>
    <cellStyle name="Moneda 68 2 2" xfId="4153" xr:uid="{7EFFD6A4-5297-40C3-A52D-EE240C94E535}"/>
    <cellStyle name="Moneda 68 2 2 2" xfId="11721" xr:uid="{D3C57A18-4C5B-475D-BE39-7978FBF34ABA}"/>
    <cellStyle name="Moneda 68 2 3" xfId="8801" xr:uid="{5305DE48-4105-47CC-8085-AE53BC3987A4}"/>
    <cellStyle name="Moneda 68 3" xfId="1557" xr:uid="{8DE94C9C-D92B-48E4-BD93-1373E0F2700D}"/>
    <cellStyle name="Moneda 68 3 2" xfId="4517" xr:uid="{1DE44F21-63CC-46AC-85C7-EEEE096E2157}"/>
    <cellStyle name="Moneda 68 3 2 2" xfId="12085" xr:uid="{E06CC6C0-3A8E-464C-A409-992B5A76283C}"/>
    <cellStyle name="Moneda 68 3 3" xfId="9165" xr:uid="{989B4FAD-DE48-4561-AAF3-8EDE49BC60B9}"/>
    <cellStyle name="Moneda 68 4" xfId="1936" xr:uid="{E87ACDF5-A29C-4DEF-B29E-21B6D04BB4EB}"/>
    <cellStyle name="Moneda 68 4 2" xfId="4895" xr:uid="{024F5D0F-3B4F-41C9-B37A-F5B1F8C02B8F}"/>
    <cellStyle name="Moneda 68 4 2 2" xfId="12463" xr:uid="{C4F22566-5E10-4E0C-84B5-E0B3F77309EC}"/>
    <cellStyle name="Moneda 68 4 3" xfId="9543" xr:uid="{37173A6B-9EEE-41CE-B6DC-C134C397550E}"/>
    <cellStyle name="Moneda 68 5" xfId="3622" xr:uid="{512AA206-36FA-40AD-8748-418DE4F61413}"/>
    <cellStyle name="Moneda 68 5 2" xfId="11190" xr:uid="{3479763E-7F5B-41F1-A3F9-D909B63F487D}"/>
    <cellStyle name="Moneda 68 6" xfId="8270" xr:uid="{B3B3AB20-F606-483A-88B1-9CC5881CB595}"/>
    <cellStyle name="Moneda 69" xfId="391" xr:uid="{EB5D79C6-0163-4781-8A26-5616E141CD03}"/>
    <cellStyle name="Moneda 69 2" xfId="1195" xr:uid="{1835C2F5-2F59-4DDB-857F-0207F08F567E}"/>
    <cellStyle name="Moneda 69 2 2" xfId="4155" xr:uid="{D497C2D7-9B23-428F-BA4B-EBCFAA9D6151}"/>
    <cellStyle name="Moneda 69 2 2 2" xfId="11723" xr:uid="{B0013F3C-BB20-4D40-862E-DCBBC2D2814C}"/>
    <cellStyle name="Moneda 69 2 3" xfId="8803" xr:uid="{B116CD80-78C0-46D7-BCA2-0F1EAF0EEEF7}"/>
    <cellStyle name="Moneda 69 3" xfId="1559" xr:uid="{554360FD-A82F-45B5-A2A4-E9FA6FA941A2}"/>
    <cellStyle name="Moneda 69 3 2" xfId="4519" xr:uid="{6F11D1CA-09AF-4E66-9240-09B588A0FFBD}"/>
    <cellStyle name="Moneda 69 3 2 2" xfId="12087" xr:uid="{77AB6138-3C8F-40B0-8681-947FDEB41FF6}"/>
    <cellStyle name="Moneda 69 3 3" xfId="9167" xr:uid="{0567B6E4-89EE-4AB7-AA8E-BBE17B33168E}"/>
    <cellStyle name="Moneda 69 4" xfId="1938" xr:uid="{DD26E0EA-C01E-47AC-9DB0-C3ADA1337ADD}"/>
    <cellStyle name="Moneda 69 4 2" xfId="4897" xr:uid="{D846BD9B-A459-49D8-AC9E-D08CE5C089C7}"/>
    <cellStyle name="Moneda 69 4 2 2" xfId="12465" xr:uid="{D14B54D1-8FBE-445F-AB2C-BB4629BF2C7E}"/>
    <cellStyle name="Moneda 69 4 3" xfId="9545" xr:uid="{1E78F522-5808-4DF4-92DF-318E359A01C7}"/>
    <cellStyle name="Moneda 69 5" xfId="3624" xr:uid="{4FC3E99E-DC86-45F0-A0C2-349BC12CB1DF}"/>
    <cellStyle name="Moneda 69 5 2" xfId="11192" xr:uid="{366AECDA-4F5C-4E48-A283-8AA0C53DC9CC}"/>
    <cellStyle name="Moneda 69 6" xfId="8272" xr:uid="{0F25A68F-763D-4995-8E46-8F89222AC50B}"/>
    <cellStyle name="Moneda 7" xfId="36" xr:uid="{00000000-0005-0000-0000-000061000000}"/>
    <cellStyle name="Moneda 7 10" xfId="3196" xr:uid="{76D13FA8-E9EF-4BEF-AF44-CB3DF13A98AD}"/>
    <cellStyle name="Moneda 7 10 2" xfId="6200" xr:uid="{02156AD1-2C70-4F9D-82CD-F1696116073A}"/>
    <cellStyle name="Moneda 7 10 2 2" xfId="13761" xr:uid="{8AC10F2A-5472-46E8-B4A6-ECBBD76F30ED}"/>
    <cellStyle name="Moneda 7 10 3" xfId="7604" xr:uid="{0D385BE8-F6A5-4EF8-A089-341A41BE25E8}"/>
    <cellStyle name="Moneda 7 10 3 2" xfId="15133" xr:uid="{5B8FF7E5-EFAE-4999-ADF2-013CF86EB9B9}"/>
    <cellStyle name="Moneda 7 10 4" xfId="10778" xr:uid="{E0C3C297-0195-4D07-AA77-83CACB3FD121}"/>
    <cellStyle name="Moneda 7 11" xfId="3324" xr:uid="{7FEFE503-E6F7-40D8-839C-6077FB445D2F}"/>
    <cellStyle name="Moneda 7 11 2" xfId="6326" xr:uid="{0AFB3943-5AE5-4AF2-8AC8-04F7D07F867E}"/>
    <cellStyle name="Moneda 7 11 2 2" xfId="13887" xr:uid="{CAC9D2AC-0EDF-4CBF-94C3-D233357633EC}"/>
    <cellStyle name="Moneda 7 11 3" xfId="7730" xr:uid="{FAD9A8BB-24EC-41BF-9221-89FEBCE78C6C}"/>
    <cellStyle name="Moneda 7 11 3 2" xfId="15259" xr:uid="{6177E647-D681-45EC-AAB2-CDA8E7FF94B2}"/>
    <cellStyle name="Moneda 7 11 4" xfId="10904" xr:uid="{1E324E9E-BB69-4EE4-9020-596EA6957660}"/>
    <cellStyle name="Moneda 7 12" xfId="2319" xr:uid="{8C6746E5-1F34-4083-8152-71A8E4FDC3C9}"/>
    <cellStyle name="Moneda 7 12 2" xfId="6462" xr:uid="{50179153-F662-4172-9F50-F055D0E5C86B}"/>
    <cellStyle name="Moneda 7 12 2 2" xfId="14018" xr:uid="{C726B307-90FA-40CD-9F03-24359AFD3F7D}"/>
    <cellStyle name="Moneda 7 12 3" xfId="7861" xr:uid="{52EFD9AF-77EE-43C7-9848-5ED6BF46803B}"/>
    <cellStyle name="Moneda 7 12 3 2" xfId="15390" xr:uid="{ECC09A72-9888-4C4C-8320-D543D848ED88}"/>
    <cellStyle name="Moneda 7 12 4" xfId="9918" xr:uid="{61340D07-7574-40E9-B307-3158D380D03B}"/>
    <cellStyle name="Moneda 7 13" xfId="3488" xr:uid="{0A76E7EA-2C73-4667-80F1-1A37B90BAC81}"/>
    <cellStyle name="Moneda 7 13 2" xfId="11056" xr:uid="{A1B3EB9E-345D-4B2C-918D-75CD3463F497}"/>
    <cellStyle name="Moneda 7 14" xfId="5339" xr:uid="{408DCF70-CEAF-4A51-988D-221A8FDAA244}"/>
    <cellStyle name="Moneda 7 14 2" xfId="12900" xr:uid="{BDDBA068-F9BF-473B-9434-E1252B026C46}"/>
    <cellStyle name="Moneda 7 15" xfId="6742" xr:uid="{FE2216A8-AAB0-4CC6-9224-B3E952EEE82C}"/>
    <cellStyle name="Moneda 7 15 2" xfId="14271" xr:uid="{0223794C-C7CD-4C3B-8DEA-C0E3B61E5CB8}"/>
    <cellStyle name="Moneda 7 16" xfId="8136" xr:uid="{377B031B-0853-4123-8782-382C61D909DF}"/>
    <cellStyle name="Moneda 7 17" xfId="182" xr:uid="{013E2D1F-CBDB-41DB-87CE-9528A29049D9}"/>
    <cellStyle name="Moneda 7 2" xfId="1071" xr:uid="{52415179-933B-4969-9AF0-7AE684757C71}"/>
    <cellStyle name="Moneda 7 2 10" xfId="3353" xr:uid="{908B5F20-CA0C-41F8-91E3-5A843B20A7BA}"/>
    <cellStyle name="Moneda 7 2 10 2" xfId="6355" xr:uid="{F77BBB33-3F9B-44BD-BA59-ED696BD64594}"/>
    <cellStyle name="Moneda 7 2 10 2 2" xfId="13916" xr:uid="{F3CDF432-BAD9-4084-AB7D-7CE3391DB9B5}"/>
    <cellStyle name="Moneda 7 2 10 3" xfId="7759" xr:uid="{FA2C4BE4-7F82-4FEA-825E-B21F3CA31185}"/>
    <cellStyle name="Moneda 7 2 10 3 2" xfId="15288" xr:uid="{51CD116F-004B-4AC9-B129-6E44F7A18B17}"/>
    <cellStyle name="Moneda 7 2 10 4" xfId="10933" xr:uid="{A9848892-4D11-472C-A0D6-3A393DB85D4A}"/>
    <cellStyle name="Moneda 7 2 11" xfId="2354" xr:uid="{F1D12AD0-80EF-418E-9B59-EC562B7A2752}"/>
    <cellStyle name="Moneda 7 2 11 2" xfId="6491" xr:uid="{FE83B0BE-F191-4C27-8D39-3374DFDDB20B}"/>
    <cellStyle name="Moneda 7 2 11 2 2" xfId="14047" xr:uid="{022F863A-1237-4496-9AEC-EF19ABA8D82A}"/>
    <cellStyle name="Moneda 7 2 11 3" xfId="7890" xr:uid="{42B83AE2-0D03-40B8-9E45-1DB8ACD8F8C7}"/>
    <cellStyle name="Moneda 7 2 11 3 2" xfId="15419" xr:uid="{148CAA46-F946-48B1-B7EB-B7D868EBF0AA}"/>
    <cellStyle name="Moneda 7 2 11 4" xfId="9948" xr:uid="{A44A60F2-FB8B-4700-B744-DB33C37E8875}"/>
    <cellStyle name="Moneda 7 2 12" xfId="4031" xr:uid="{05E34014-9E1B-4386-85E3-1BAD8AE6EEAD}"/>
    <cellStyle name="Moneda 7 2 12 2" xfId="11599" xr:uid="{933F0C30-3DD1-4C39-877E-6211F9836BB2}"/>
    <cellStyle name="Moneda 7 2 13" xfId="5370" xr:uid="{D9323097-E8FB-4159-A357-CBD3E49E0575}"/>
    <cellStyle name="Moneda 7 2 13 2" xfId="12931" xr:uid="{4E3BC3E8-608F-4008-8F67-1E1D9C49A375}"/>
    <cellStyle name="Moneda 7 2 14" xfId="6774" xr:uid="{D466E042-062F-4D8F-BAAA-E2AFAE626097}"/>
    <cellStyle name="Moneda 7 2 14 2" xfId="14303" xr:uid="{6FCB2B9F-7EA1-418A-8955-FD8D74A3B791}"/>
    <cellStyle name="Moneda 7 2 15" xfId="8679" xr:uid="{46492238-55A5-4B8A-B0AA-216325CB9F76}"/>
    <cellStyle name="Moneda 7 2 2" xfId="2418" xr:uid="{D089F175-B510-4FF0-85BD-93DCEB32BADB}"/>
    <cellStyle name="Moneda 7 2 2 10" xfId="6549" xr:uid="{9FFD864C-4947-472B-8C98-2FFE69A52B93}"/>
    <cellStyle name="Moneda 7 2 2 10 2" xfId="7948" xr:uid="{D7111266-C413-4FBA-8919-9463EE1D5835}"/>
    <cellStyle name="Moneda 7 2 2 10 2 2" xfId="15477" xr:uid="{9684117F-53CA-45BE-89E0-A1CD768F47B4}"/>
    <cellStyle name="Moneda 7 2 2 10 3" xfId="14105" xr:uid="{1B240974-9F78-45AF-9F0F-36A6C3C0952B}"/>
    <cellStyle name="Moneda 7 2 2 11" xfId="5428" xr:uid="{B59519B6-F255-4681-9A5D-0A1208CFB1EA}"/>
    <cellStyle name="Moneda 7 2 2 11 2" xfId="12989" xr:uid="{4BAE07E1-8C90-4ABC-B85F-49891411A779}"/>
    <cellStyle name="Moneda 7 2 2 12" xfId="6832" xr:uid="{EBF2A47E-472C-4525-847D-813DBBFF0EC6}"/>
    <cellStyle name="Moneda 7 2 2 12 2" xfId="14361" xr:uid="{D5A470D1-3C2B-46AA-BE55-A51A1E06940C}"/>
    <cellStyle name="Moneda 7 2 2 13" xfId="10006" xr:uid="{F43D67B6-3F2A-4E8E-B481-015C7E9D4988}"/>
    <cellStyle name="Moneda 7 2 2 2" xfId="2542" xr:uid="{8A928CC9-0ECC-4E2A-B6F3-95C5E50A0BD1}"/>
    <cellStyle name="Moneda 7 2 2 2 2" xfId="6684" xr:uid="{51054C37-0A4D-43D7-989A-58BFF595A1F9}"/>
    <cellStyle name="Moneda 7 2 2 2 2 2" xfId="8070" xr:uid="{0B20CE7D-AC26-4504-A33C-9F684B778A04}"/>
    <cellStyle name="Moneda 7 2 2 2 2 2 2" xfId="15599" xr:uid="{4BFAAE01-3236-4356-9EDF-B8074312384E}"/>
    <cellStyle name="Moneda 7 2 2 2 2 3" xfId="14227" xr:uid="{776E73D0-8235-4996-BDAD-F67BADF2EEC6}"/>
    <cellStyle name="Moneda 7 2 2 2 3" xfId="5548" xr:uid="{3719D579-A1B4-40B7-8BCA-7D83D22275D6}"/>
    <cellStyle name="Moneda 7 2 2 2 3 2" xfId="13109" xr:uid="{2657B7CF-3DBB-456C-82B3-5B2BD901B84B}"/>
    <cellStyle name="Moneda 7 2 2 2 4" xfId="6952" xr:uid="{6DD8506B-B722-41F5-A823-0B1CFD38BE9F}"/>
    <cellStyle name="Moneda 7 2 2 2 4 2" xfId="14481" xr:uid="{5E4ED8B0-0B2A-461E-AB48-F5502F1CDFD1}"/>
    <cellStyle name="Moneda 7 2 2 2 5" xfId="10126" xr:uid="{B7A30BEB-60D8-4C6E-AAA7-4CEDF467AB1F}"/>
    <cellStyle name="Moneda 7 2 2 3" xfId="2663" xr:uid="{9D20F668-9C02-45F8-8B8A-6D901D25D802}"/>
    <cellStyle name="Moneda 7 2 2 3 2" xfId="5668" xr:uid="{C2A337F8-0CFA-4FC6-81F5-0EC3F249C5AD}"/>
    <cellStyle name="Moneda 7 2 2 3 2 2" xfId="13229" xr:uid="{5CB6E9AD-C803-4BE9-ABA6-C7F943F7E82C}"/>
    <cellStyle name="Moneda 7 2 2 3 3" xfId="7072" xr:uid="{5B371366-AFAF-4991-97CB-DF91739851C0}"/>
    <cellStyle name="Moneda 7 2 2 3 3 2" xfId="14601" xr:uid="{210017FE-17CF-49B6-8A14-05D6031DB83F}"/>
    <cellStyle name="Moneda 7 2 2 3 4" xfId="10246" xr:uid="{C691A4D2-9976-4700-81A9-914052E736C9}"/>
    <cellStyle name="Moneda 7 2 2 4" xfId="2785" xr:uid="{DE8E1E93-4F3F-462D-B3D4-BED4465E6724}"/>
    <cellStyle name="Moneda 7 2 2 4 2" xfId="5790" xr:uid="{45D10FDD-15C4-4979-BDC0-9C99D6281874}"/>
    <cellStyle name="Moneda 7 2 2 4 2 2" xfId="13351" xr:uid="{FC9CD9F5-DDA2-4E1B-967F-4BA886217C5A}"/>
    <cellStyle name="Moneda 7 2 2 4 3" xfId="7194" xr:uid="{F723F60F-575D-4B82-B6F1-BB2D2813D217}"/>
    <cellStyle name="Moneda 7 2 2 4 3 2" xfId="14723" xr:uid="{6EB8D6FD-F2FB-40B9-AED2-9181DF087334}"/>
    <cellStyle name="Moneda 7 2 2 4 4" xfId="10368" xr:uid="{BD24A4EF-A5E0-4BB8-80B6-FB5CE30BEA66}"/>
    <cellStyle name="Moneda 7 2 2 5" xfId="2910" xr:uid="{B05C19C0-9184-44E0-9AC2-29377782A862}"/>
    <cellStyle name="Moneda 7 2 2 5 2" xfId="5914" xr:uid="{24CC5379-0A93-46E0-9150-6C085638B321}"/>
    <cellStyle name="Moneda 7 2 2 5 2 2" xfId="13475" xr:uid="{D2E16EBD-A513-434D-B87B-D334599D6462}"/>
    <cellStyle name="Moneda 7 2 2 5 3" xfId="7318" xr:uid="{046C7DEE-FE27-4BE0-BE6C-BD14D1E9366C}"/>
    <cellStyle name="Moneda 7 2 2 5 3 2" xfId="14847" xr:uid="{70E5BF89-E313-4160-B3FA-13AD46AC901D}"/>
    <cellStyle name="Moneda 7 2 2 5 4" xfId="10492" xr:uid="{2D1C2A22-2B64-4488-9417-4F2D3169223C}"/>
    <cellStyle name="Moneda 7 2 2 6" xfId="3034" xr:uid="{3B0D8FC4-42CB-47A8-83BF-B66B51327309}"/>
    <cellStyle name="Moneda 7 2 2 6 2" xfId="6038" xr:uid="{54B7BD9F-141E-48EC-A3A7-B2B7F3E06BD2}"/>
    <cellStyle name="Moneda 7 2 2 6 2 2" xfId="13599" xr:uid="{311274B8-2D62-4582-943B-8B56E98A7159}"/>
    <cellStyle name="Moneda 7 2 2 6 3" xfId="7442" xr:uid="{2C5C5218-8457-4C2F-9A2A-CF2A53B7077C}"/>
    <cellStyle name="Moneda 7 2 2 6 3 2" xfId="14971" xr:uid="{8158E9AE-D402-491E-B225-6060B9F93719}"/>
    <cellStyle name="Moneda 7 2 2 6 4" xfId="10616" xr:uid="{EE83B16A-1816-4C79-8C8E-6BDB1AEC08BF}"/>
    <cellStyle name="Moneda 7 2 2 7" xfId="3158" xr:uid="{80FF0FF3-2460-4FFC-8CF8-841151BD8E8D}"/>
    <cellStyle name="Moneda 7 2 2 7 2" xfId="6162" xr:uid="{3757E71F-62FB-4559-BE01-10DFAD3BEC96}"/>
    <cellStyle name="Moneda 7 2 2 7 2 2" xfId="13723" xr:uid="{36C68EF5-57A9-4ECF-B53E-C2637B1EECDF}"/>
    <cellStyle name="Moneda 7 2 2 7 3" xfId="7566" xr:uid="{FDB0D46D-81F2-42F6-9C4A-271EC3F2F025}"/>
    <cellStyle name="Moneda 7 2 2 7 3 2" xfId="15095" xr:uid="{E977E03D-5FBE-454E-A904-0CE7FB3874CC}"/>
    <cellStyle name="Moneda 7 2 2 7 4" xfId="10740" xr:uid="{DFC99F4E-BD00-4143-A4DB-94561209F69E}"/>
    <cellStyle name="Moneda 7 2 2 8" xfId="3283" xr:uid="{0F7FCA29-C6DF-43E8-A007-B1E68A860089}"/>
    <cellStyle name="Moneda 7 2 2 8 2" xfId="6287" xr:uid="{BF08E0CD-A50E-4528-8760-A4C6BB186585}"/>
    <cellStyle name="Moneda 7 2 2 8 2 2" xfId="13848" xr:uid="{E3F96B12-3DFF-4560-AB0A-453885FD05EF}"/>
    <cellStyle name="Moneda 7 2 2 8 3" xfId="7691" xr:uid="{1D267071-97A0-4916-BF65-E1F4F18F3168}"/>
    <cellStyle name="Moneda 7 2 2 8 3 2" xfId="15220" xr:uid="{3F9CE02E-C294-4B7D-9403-570C5D2B49B3}"/>
    <cellStyle name="Moneda 7 2 2 8 4" xfId="10865" xr:uid="{72A71586-075B-42A1-B10A-E9058F03C1B7}"/>
    <cellStyle name="Moneda 7 2 2 9" xfId="3411" xr:uid="{0F301E5A-063B-4C9A-B159-2D5D5E989B55}"/>
    <cellStyle name="Moneda 7 2 2 9 2" xfId="6413" xr:uid="{5961044B-BD44-4A4C-98A6-A700584347E1}"/>
    <cellStyle name="Moneda 7 2 2 9 2 2" xfId="13974" xr:uid="{6A9B3D32-2A85-4B08-A13E-064B208E6557}"/>
    <cellStyle name="Moneda 7 2 2 9 3" xfId="7817" xr:uid="{DA17201A-6C5F-4CFF-A8BF-4431DA6E5CAA}"/>
    <cellStyle name="Moneda 7 2 2 9 3 2" xfId="15346" xr:uid="{475037BE-B465-4B92-83BB-72B1D9F1DBB7}"/>
    <cellStyle name="Moneda 7 2 2 9 4" xfId="10991" xr:uid="{57F68827-8D7A-4712-8FCB-E9F1E561DA2A}"/>
    <cellStyle name="Moneda 7 2 3" xfId="2484" xr:uid="{D732A450-5DE5-4C64-A6BA-0FCF7762B4D0}"/>
    <cellStyle name="Moneda 7 2 3 2" xfId="6626" xr:uid="{28FCF677-DC4F-4796-8147-E2DFAA35EE55}"/>
    <cellStyle name="Moneda 7 2 3 2 2" xfId="8012" xr:uid="{BE425FC9-0A1F-4F36-BC71-7DA49F8A313D}"/>
    <cellStyle name="Moneda 7 2 3 2 2 2" xfId="15541" xr:uid="{505224F8-5FA9-4254-8F0E-E34F146B39E6}"/>
    <cellStyle name="Moneda 7 2 3 2 3" xfId="14169" xr:uid="{47E7CA1D-7185-4CAF-8188-9172C62A456F}"/>
    <cellStyle name="Moneda 7 2 3 3" xfId="5490" xr:uid="{0D1101FF-EA40-4392-AA3F-322B97CBC7E7}"/>
    <cellStyle name="Moneda 7 2 3 3 2" xfId="13051" xr:uid="{F70D4A4A-8B42-4E18-9637-9C316F3FE14F}"/>
    <cellStyle name="Moneda 7 2 3 4" xfId="6894" xr:uid="{7DAA8761-7FAB-40B5-994F-FB52FF8325AC}"/>
    <cellStyle name="Moneda 7 2 3 4 2" xfId="14423" xr:uid="{B2C7BF19-3643-4B9E-8D75-37582A1AEA9C}"/>
    <cellStyle name="Moneda 7 2 3 5" xfId="10068" xr:uid="{180389CF-ECA9-44C1-B1BB-1868519358D3}"/>
    <cellStyle name="Moneda 7 2 4" xfId="2605" xr:uid="{80D6CB3B-6289-4C42-824E-EC7870A5A728}"/>
    <cellStyle name="Moneda 7 2 4 2" xfId="5610" xr:uid="{67E707AC-B8B9-47D8-93ED-88F560EE63E7}"/>
    <cellStyle name="Moneda 7 2 4 2 2" xfId="13171" xr:uid="{1A0E6D30-D981-49E8-8061-2683AF8F83E1}"/>
    <cellStyle name="Moneda 7 2 4 3" xfId="7014" xr:uid="{B0FD0005-4A45-436C-90DD-D8B156F005EF}"/>
    <cellStyle name="Moneda 7 2 4 3 2" xfId="14543" xr:uid="{D2FBE0FF-D744-43BF-8FBE-8C0A43FCAC10}"/>
    <cellStyle name="Moneda 7 2 4 4" xfId="10188" xr:uid="{AFA97618-460B-4779-A1DD-12DB48449F19}"/>
    <cellStyle name="Moneda 7 2 5" xfId="2727" xr:uid="{F0455EA9-6CA2-4EF0-9A3D-1138275A441C}"/>
    <cellStyle name="Moneda 7 2 5 2" xfId="5732" xr:uid="{F22C6526-4D9A-4D4D-8F59-7CE07FFBA101}"/>
    <cellStyle name="Moneda 7 2 5 2 2" xfId="13293" xr:uid="{4584A426-E2E3-4A7C-B4D1-32FD8E8F4B37}"/>
    <cellStyle name="Moneda 7 2 5 3" xfId="7136" xr:uid="{F92A2D34-5F1A-4CCA-8750-C392561814C1}"/>
    <cellStyle name="Moneda 7 2 5 3 2" xfId="14665" xr:uid="{B4D1F89E-C4FB-4099-B193-E57190836DB9}"/>
    <cellStyle name="Moneda 7 2 5 4" xfId="10310" xr:uid="{5A973E1D-B51F-4B90-9AD6-8DEF448C87B9}"/>
    <cellStyle name="Moneda 7 2 6" xfId="2852" xr:uid="{CF31D014-6459-4FAE-9F04-569272AFA038}"/>
    <cellStyle name="Moneda 7 2 6 2" xfId="5856" xr:uid="{7521D614-A2E4-48C8-B259-6B6479FD5595}"/>
    <cellStyle name="Moneda 7 2 6 2 2" xfId="13417" xr:uid="{D2C75A7D-89E6-4195-81A9-93D3C2880499}"/>
    <cellStyle name="Moneda 7 2 6 3" xfId="7260" xr:uid="{80B03586-4C7F-45C8-9A62-8463AE143B98}"/>
    <cellStyle name="Moneda 7 2 6 3 2" xfId="14789" xr:uid="{D8DA5305-FE56-4448-B51A-D1C3E0FE7369}"/>
    <cellStyle name="Moneda 7 2 6 4" xfId="10434" xr:uid="{DDEC7A0E-6E44-4F90-B17A-E6D893DA4ECC}"/>
    <cellStyle name="Moneda 7 2 7" xfId="2976" xr:uid="{DAA5CC49-6EAF-4580-9EAB-851B2BCBEA1D}"/>
    <cellStyle name="Moneda 7 2 7 2" xfId="5980" xr:uid="{9381DC7A-6E76-4BF4-93C7-C71F873A3D34}"/>
    <cellStyle name="Moneda 7 2 7 2 2" xfId="13541" xr:uid="{58AAEE91-3DD3-4F59-A870-3E6CB1C905D1}"/>
    <cellStyle name="Moneda 7 2 7 3" xfId="7384" xr:uid="{175206D8-741F-43D7-9081-504896FAA5E6}"/>
    <cellStyle name="Moneda 7 2 7 3 2" xfId="14913" xr:uid="{A382A43F-5744-45F4-A7C8-0884122F17B6}"/>
    <cellStyle name="Moneda 7 2 7 4" xfId="10558" xr:uid="{C05D7883-A960-4C47-8C1C-F14E27F8C223}"/>
    <cellStyle name="Moneda 7 2 8" xfId="3100" xr:uid="{F7F2E562-619E-4970-8018-C8883611035B}"/>
    <cellStyle name="Moneda 7 2 8 2" xfId="6104" xr:uid="{023DB258-B288-4EC5-BBA0-1EEF9FB12E8C}"/>
    <cellStyle name="Moneda 7 2 8 2 2" xfId="13665" xr:uid="{505D952A-FC67-4006-B0A7-721C6F43A10A}"/>
    <cellStyle name="Moneda 7 2 8 3" xfId="7508" xr:uid="{DEEDA2B1-F83F-4EC1-AC93-6133C09702C1}"/>
    <cellStyle name="Moneda 7 2 8 3 2" xfId="15037" xr:uid="{7D488A43-0160-46D9-BE61-1735E8743A29}"/>
    <cellStyle name="Moneda 7 2 8 4" xfId="10682" xr:uid="{4984BCEB-7111-4E85-A841-160F56CBB655}"/>
    <cellStyle name="Moneda 7 2 9" xfId="3225" xr:uid="{95AF09BB-CC28-42A6-86E8-031D6CB59C54}"/>
    <cellStyle name="Moneda 7 2 9 2" xfId="6229" xr:uid="{84B92676-E679-4961-96BF-D268A18AD26C}"/>
    <cellStyle name="Moneda 7 2 9 2 2" xfId="13790" xr:uid="{EF7D68F4-66A1-4C15-BEE4-BA559524AADD}"/>
    <cellStyle name="Moneda 7 2 9 3" xfId="7633" xr:uid="{D0EC7F1F-2A14-4AC9-BA19-BD1E20F42D33}"/>
    <cellStyle name="Moneda 7 2 9 3 2" xfId="15162" xr:uid="{392126E2-E900-4F7F-B491-59BB34B1C21B}"/>
    <cellStyle name="Moneda 7 2 9 4" xfId="10807" xr:uid="{3B852020-E7C7-4C85-B6CA-C858201E7BBA}"/>
    <cellStyle name="Moneda 7 3" xfId="1435" xr:uid="{F0672560-4187-48CB-A0B5-A0563E203E3E}"/>
    <cellStyle name="Moneda 7 3 10" xfId="2389" xr:uid="{1AADC591-ED1A-4683-85D3-07ED10E49618}"/>
    <cellStyle name="Moneda 7 3 10 2" xfId="6520" xr:uid="{948120FA-5A04-4BCB-8070-0E5542E1E752}"/>
    <cellStyle name="Moneda 7 3 10 2 2" xfId="14076" xr:uid="{C6193F10-6B3F-4089-83C9-DFEF54101C85}"/>
    <cellStyle name="Moneda 7 3 10 3" xfId="7919" xr:uid="{907BAA1E-34BC-434F-B346-650E7CCE1014}"/>
    <cellStyle name="Moneda 7 3 10 3 2" xfId="15448" xr:uid="{4B9F111F-4C7F-4FE6-A518-0E6B204E6102}"/>
    <cellStyle name="Moneda 7 3 10 4" xfId="9977" xr:uid="{7415537E-0E95-4235-8F0B-D14AAA6EA434}"/>
    <cellStyle name="Moneda 7 3 11" xfId="4395" xr:uid="{F5A6B77D-525A-4D6D-B118-D43D71695156}"/>
    <cellStyle name="Moneda 7 3 11 2" xfId="11963" xr:uid="{DA28360B-BB70-4AA8-BC5E-6C8355598CDA}"/>
    <cellStyle name="Moneda 7 3 12" xfId="5399" xr:uid="{71AA678E-3CF4-492F-A388-BE64BCC0E3FB}"/>
    <cellStyle name="Moneda 7 3 12 2" xfId="12960" xr:uid="{5A594A21-1665-487D-83A1-567CBCCCCF8E}"/>
    <cellStyle name="Moneda 7 3 13" xfId="6803" xr:uid="{D7F3EB80-4BED-4102-807D-17A9F51DED9C}"/>
    <cellStyle name="Moneda 7 3 13 2" xfId="14332" xr:uid="{2EB153C9-18BC-47EA-96D1-6B5775719C42}"/>
    <cellStyle name="Moneda 7 3 14" xfId="9043" xr:uid="{54435121-1EE4-4B34-B5B9-1ECF96B7608A}"/>
    <cellStyle name="Moneda 7 3 2" xfId="2513" xr:uid="{D6FBB632-C903-422E-BA6F-E9C5B9F74803}"/>
    <cellStyle name="Moneda 7 3 2 2" xfId="6655" xr:uid="{08FC6EED-2471-4839-827A-6C3C0A989704}"/>
    <cellStyle name="Moneda 7 3 2 2 2" xfId="8041" xr:uid="{AB6F51D6-3FAB-4242-B930-98ED99C6AE93}"/>
    <cellStyle name="Moneda 7 3 2 2 2 2" xfId="15570" xr:uid="{D5E4962E-C6AE-4EF1-A450-376FD0257C7E}"/>
    <cellStyle name="Moneda 7 3 2 2 3" xfId="14198" xr:uid="{9A719F7D-49EE-4D9C-97B9-ECECA27B2F19}"/>
    <cellStyle name="Moneda 7 3 2 3" xfId="5519" xr:uid="{618D3643-7713-4534-9955-F17C113EABB2}"/>
    <cellStyle name="Moneda 7 3 2 3 2" xfId="13080" xr:uid="{6508A331-68D0-4E35-B251-E878B2A3F0D7}"/>
    <cellStyle name="Moneda 7 3 2 4" xfId="6923" xr:uid="{2FDC63BA-D602-433F-97D3-D3712B99508D}"/>
    <cellStyle name="Moneda 7 3 2 4 2" xfId="14452" xr:uid="{8F9E9DB0-FA04-4365-8311-5F253EE09805}"/>
    <cellStyle name="Moneda 7 3 2 5" xfId="10097" xr:uid="{5C779755-2B23-42FC-A597-B6659C18846D}"/>
    <cellStyle name="Moneda 7 3 3" xfId="2634" xr:uid="{205E99A9-8D3D-46D3-B7D7-8CB5E1551BE0}"/>
    <cellStyle name="Moneda 7 3 3 2" xfId="5639" xr:uid="{FD56A0DF-7EA9-4D3F-9339-E52BBD189FA8}"/>
    <cellStyle name="Moneda 7 3 3 2 2" xfId="13200" xr:uid="{C8995663-6CCA-4EF9-9A2C-CAA2D05125D8}"/>
    <cellStyle name="Moneda 7 3 3 3" xfId="7043" xr:uid="{5F9B7A33-5DAC-479A-96CB-7C07F8539A73}"/>
    <cellStyle name="Moneda 7 3 3 3 2" xfId="14572" xr:uid="{7589A981-B7FD-41B2-80C1-3A80D958CB55}"/>
    <cellStyle name="Moneda 7 3 3 4" xfId="10217" xr:uid="{DBD6907B-0F5F-498A-BB61-1C74CB5F6B9C}"/>
    <cellStyle name="Moneda 7 3 4" xfId="2756" xr:uid="{B73E6A4D-5DB2-46B7-B5A0-B8CBE374F28F}"/>
    <cellStyle name="Moneda 7 3 4 2" xfId="5761" xr:uid="{E7098F18-06AE-41B5-B78B-C067F95CB788}"/>
    <cellStyle name="Moneda 7 3 4 2 2" xfId="13322" xr:uid="{FFF71D1F-FDD0-417D-A6AE-ED3DEA3C6708}"/>
    <cellStyle name="Moneda 7 3 4 3" xfId="7165" xr:uid="{2762E7A1-AA14-4233-8457-560ABD67108B}"/>
    <cellStyle name="Moneda 7 3 4 3 2" xfId="14694" xr:uid="{69402ECD-01D2-45AB-A654-02F711A6E8CB}"/>
    <cellStyle name="Moneda 7 3 4 4" xfId="10339" xr:uid="{1B36A35D-CBB1-4A29-88BE-7B85E3BE2F44}"/>
    <cellStyle name="Moneda 7 3 5" xfId="2881" xr:uid="{24C959AA-B0F9-43CE-93E0-52A58A3ED19F}"/>
    <cellStyle name="Moneda 7 3 5 2" xfId="5885" xr:uid="{964A140B-ED0D-4E8C-8EFC-339A930745CD}"/>
    <cellStyle name="Moneda 7 3 5 2 2" xfId="13446" xr:uid="{EB414E6E-3D8B-451F-8FAB-7080ED540590}"/>
    <cellStyle name="Moneda 7 3 5 3" xfId="7289" xr:uid="{3ADC07AB-79E8-4C2A-A318-BDAF6060A7D3}"/>
    <cellStyle name="Moneda 7 3 5 3 2" xfId="14818" xr:uid="{A9BCBF90-97A4-4136-BD2A-1D762CB12CBE}"/>
    <cellStyle name="Moneda 7 3 5 4" xfId="10463" xr:uid="{B80A5213-86D5-4930-B764-9DA654823936}"/>
    <cellStyle name="Moneda 7 3 6" xfId="3005" xr:uid="{8BE491FE-9295-4C5D-B7AE-C0F1CFDF5F13}"/>
    <cellStyle name="Moneda 7 3 6 2" xfId="6009" xr:uid="{BB43807C-30A0-43C3-9C80-9E7E7E3B146F}"/>
    <cellStyle name="Moneda 7 3 6 2 2" xfId="13570" xr:uid="{A77E43D2-4F67-4E24-A658-4DCB9875C085}"/>
    <cellStyle name="Moneda 7 3 6 3" xfId="7413" xr:uid="{F6714B9A-8D03-498D-BE7F-B72B5AD4983C}"/>
    <cellStyle name="Moneda 7 3 6 3 2" xfId="14942" xr:uid="{CC172146-CB3C-46B4-9855-1E4D78AF88BA}"/>
    <cellStyle name="Moneda 7 3 6 4" xfId="10587" xr:uid="{DD7B0818-3A33-423A-A9DA-ACD2DA052C21}"/>
    <cellStyle name="Moneda 7 3 7" xfId="3129" xr:uid="{C56C27F0-B6CB-4F8F-8621-B182CC373690}"/>
    <cellStyle name="Moneda 7 3 7 2" xfId="6133" xr:uid="{0C15E928-32AF-49F3-8618-20006BE714F4}"/>
    <cellStyle name="Moneda 7 3 7 2 2" xfId="13694" xr:uid="{FCA67461-501C-4950-B426-3A73796B2F62}"/>
    <cellStyle name="Moneda 7 3 7 3" xfId="7537" xr:uid="{C50C5AA7-6F79-4CE1-92D9-F4F66D484943}"/>
    <cellStyle name="Moneda 7 3 7 3 2" xfId="15066" xr:uid="{A711B887-DCA8-44FC-BD81-23007C20C501}"/>
    <cellStyle name="Moneda 7 3 7 4" xfId="10711" xr:uid="{7261D04C-75C6-4357-AFBE-8F4A35F02414}"/>
    <cellStyle name="Moneda 7 3 8" xfId="3254" xr:uid="{7BF2DC92-E02C-4A5A-93D3-1131CC126630}"/>
    <cellStyle name="Moneda 7 3 8 2" xfId="6258" xr:uid="{973397D6-8E64-42BD-AC52-EE6915E8463B}"/>
    <cellStyle name="Moneda 7 3 8 2 2" xfId="13819" xr:uid="{60EF003D-B7B2-4E50-918F-61B8E28BBAA3}"/>
    <cellStyle name="Moneda 7 3 8 3" xfId="7662" xr:uid="{10F7F92B-CC0C-448B-8F3C-9B6BA52CB32A}"/>
    <cellStyle name="Moneda 7 3 8 3 2" xfId="15191" xr:uid="{B18C0F1C-3B7B-4BDC-9B41-E8ACACEC0267}"/>
    <cellStyle name="Moneda 7 3 8 4" xfId="10836" xr:uid="{8DDB6DEB-4C55-4F98-9955-4F7A33C38382}"/>
    <cellStyle name="Moneda 7 3 9" xfId="3382" xr:uid="{2ACE8DFE-3831-41FC-8AA5-476D74CEEDE1}"/>
    <cellStyle name="Moneda 7 3 9 2" xfId="6384" xr:uid="{43CA7361-ACCA-43A9-9C6B-14928C884164}"/>
    <cellStyle name="Moneda 7 3 9 2 2" xfId="13945" xr:uid="{360E0E0E-5AEA-4B4B-82FD-E6D747496F72}"/>
    <cellStyle name="Moneda 7 3 9 3" xfId="7788" xr:uid="{D06DE07A-31B5-4E22-8D28-BDFAAD9F946C}"/>
    <cellStyle name="Moneda 7 3 9 3 2" xfId="15317" xr:uid="{1FA048F7-C51E-472B-869E-9B8A60DCD6F6}"/>
    <cellStyle name="Moneda 7 3 9 4" xfId="10962" xr:uid="{39BDB6B2-11B8-4994-A87E-FB72DE6B91C3}"/>
    <cellStyle name="Moneda 7 4" xfId="1814" xr:uid="{8DB9083A-9C59-4A60-8F04-B7987A022997}"/>
    <cellStyle name="Moneda 7 4 2" xfId="2454" xr:uid="{416E8933-E709-4694-9A70-E6ADBDC48B71}"/>
    <cellStyle name="Moneda 7 4 2 2" xfId="6587" xr:uid="{AF4942CD-29B0-40A2-B503-68914ABFC2CA}"/>
    <cellStyle name="Moneda 7 4 2 2 2" xfId="14140" xr:uid="{75498407-06AB-4115-B598-4A04AFED3D52}"/>
    <cellStyle name="Moneda 7 4 2 3" xfId="7983" xr:uid="{1C2680BB-A3EB-4126-8355-04A3AE1427C9}"/>
    <cellStyle name="Moneda 7 4 2 3 2" xfId="15512" xr:uid="{86BE7459-493D-4EEB-9813-60C6D3AE0CCD}"/>
    <cellStyle name="Moneda 7 4 2 4" xfId="10038" xr:uid="{B56EE7A9-0573-4095-855A-581D738B9123}"/>
    <cellStyle name="Moneda 7 4 3" xfId="4773" xr:uid="{9D4D3D60-41B2-486A-85E9-684AFB4735BE}"/>
    <cellStyle name="Moneda 7 4 3 2" xfId="12341" xr:uid="{DBDC2B24-DE82-4C50-A160-967ED78B969D}"/>
    <cellStyle name="Moneda 7 4 4" xfId="5460" xr:uid="{DC02A842-C6EE-4AC0-B808-0C8C056AC95C}"/>
    <cellStyle name="Moneda 7 4 4 2" xfId="13021" xr:uid="{7418B1DA-F72C-4D78-8723-546BCBA2659E}"/>
    <cellStyle name="Moneda 7 4 5" xfId="6864" xr:uid="{9C365E38-DE7F-4161-AEAA-B37068BADF4E}"/>
    <cellStyle name="Moneda 7 4 5 2" xfId="14393" xr:uid="{E6E28498-5583-492A-9028-BC225FC8616A}"/>
    <cellStyle name="Moneda 7 4 6" xfId="9421" xr:uid="{ED3AEBF4-11C3-46C5-B676-561CD08BFDED}"/>
    <cellStyle name="Moneda 7 5" xfId="2576" xr:uid="{CEE3FB10-C641-446B-AB6E-6F186A3C4088}"/>
    <cellStyle name="Moneda 7 5 2" xfId="5581" xr:uid="{7452EDB3-AC3C-4F98-B401-7F4E82596256}"/>
    <cellStyle name="Moneda 7 5 2 2" xfId="13142" xr:uid="{084B029A-6842-476A-815F-92F1082A0268}"/>
    <cellStyle name="Moneda 7 5 3" xfId="6985" xr:uid="{64B2A889-C2A4-4597-AE4B-D17BB46E4816}"/>
    <cellStyle name="Moneda 7 5 3 2" xfId="14514" xr:uid="{0F3FADA8-14D4-4CE6-B6DC-385740B7D61C}"/>
    <cellStyle name="Moneda 7 5 4" xfId="10159" xr:uid="{C7971872-C413-4594-A664-34A1A896F157}"/>
    <cellStyle name="Moneda 7 6" xfId="2698" xr:uid="{911048D4-0163-4B0E-9ACA-3FFD4F0579CB}"/>
    <cellStyle name="Moneda 7 6 2" xfId="5703" xr:uid="{6810C288-C8DF-4D4F-9EAD-4DA098C19F5D}"/>
    <cellStyle name="Moneda 7 6 2 2" xfId="13264" xr:uid="{D7103C88-5EB1-48E4-ABA7-64A823DC9019}"/>
    <cellStyle name="Moneda 7 6 3" xfId="7107" xr:uid="{0CBBD7F8-927B-4930-A2B3-CE1484FD29F1}"/>
    <cellStyle name="Moneda 7 6 3 2" xfId="14636" xr:uid="{6A8B82D8-C1F9-426B-856E-7D4C018A7265}"/>
    <cellStyle name="Moneda 7 6 4" xfId="10281" xr:uid="{1EDC8986-5C1F-4D37-9EFE-5322FD8219B9}"/>
    <cellStyle name="Moneda 7 7" xfId="2823" xr:uid="{FBE9F03B-E515-4462-BE2B-7C84EDF71DA9}"/>
    <cellStyle name="Moneda 7 7 2" xfId="5827" xr:uid="{5AB198D2-24C6-4168-8A28-DE40E229EA1C}"/>
    <cellStyle name="Moneda 7 7 2 2" xfId="13388" xr:uid="{63432DDF-8162-477C-8E2B-613AA7EFBF14}"/>
    <cellStyle name="Moneda 7 7 3" xfId="7231" xr:uid="{B51978C3-F834-4A66-A314-7DA4868EFAED}"/>
    <cellStyle name="Moneda 7 7 3 2" xfId="14760" xr:uid="{9D96CBBC-C3E5-49AF-85D3-2E89B00E0ECF}"/>
    <cellStyle name="Moneda 7 7 4" xfId="10405" xr:uid="{5D74D2F1-C9C5-432F-A2C1-DFE02F67A3AB}"/>
    <cellStyle name="Moneda 7 8" xfId="2947" xr:uid="{1161433F-E4AE-459C-B5DC-3FDD3FF0B047}"/>
    <cellStyle name="Moneda 7 8 2" xfId="5951" xr:uid="{4AE4A2B5-9560-4DA3-980E-098AD819F71F}"/>
    <cellStyle name="Moneda 7 8 2 2" xfId="13512" xr:uid="{84DB43AE-1B70-4C42-838C-8465A84F75FF}"/>
    <cellStyle name="Moneda 7 8 3" xfId="7355" xr:uid="{9A2AB1B4-E6BF-4BEC-A1B1-957DC796711E}"/>
    <cellStyle name="Moneda 7 8 3 2" xfId="14884" xr:uid="{B36874B5-62B5-42BD-8E90-60BD4A32F24E}"/>
    <cellStyle name="Moneda 7 8 4" xfId="10529" xr:uid="{7AB0A34B-356F-460E-AFBD-2F7E1843471C}"/>
    <cellStyle name="Moneda 7 9" xfId="3071" xr:uid="{003C67AA-AF64-4A45-9EAD-470DA3EDB498}"/>
    <cellStyle name="Moneda 7 9 2" xfId="6075" xr:uid="{8DBF9E38-7456-47AE-BEE4-7BD620D2C2D0}"/>
    <cellStyle name="Moneda 7 9 2 2" xfId="13636" xr:uid="{871EAA9B-27A6-4A98-A1D5-73FD1F2D092E}"/>
    <cellStyle name="Moneda 7 9 3" xfId="7479" xr:uid="{262B91B9-0B1F-4FF4-8E89-0406D741350A}"/>
    <cellStyle name="Moneda 7 9 3 2" xfId="15008" xr:uid="{B6DAA60F-BEC8-481B-A70F-21373FDC959A}"/>
    <cellStyle name="Moneda 7 9 4" xfId="10653" xr:uid="{255F301A-01DF-434E-AE64-8D4B08FA4285}"/>
    <cellStyle name="Moneda 70" xfId="394" xr:uid="{09806A76-48CF-4CC7-B293-341CCB34701D}"/>
    <cellStyle name="Moneda 70 2" xfId="1197" xr:uid="{7EDA691C-BF50-4219-B8E4-7DD953BB57A1}"/>
    <cellStyle name="Moneda 70 2 2" xfId="4157" xr:uid="{6B6AE99D-3AF6-42FF-9355-401D7061B881}"/>
    <cellStyle name="Moneda 70 2 2 2" xfId="11725" xr:uid="{29D21697-97EA-43A3-A8CF-AAA9E324D6A0}"/>
    <cellStyle name="Moneda 70 2 3" xfId="8805" xr:uid="{03138197-AB1C-4F81-884E-280C35C293CF}"/>
    <cellStyle name="Moneda 70 3" xfId="1561" xr:uid="{1F8DC933-D353-40F2-AE8D-351EB3275C80}"/>
    <cellStyle name="Moneda 70 3 2" xfId="4521" xr:uid="{3CF062D7-6DB5-41F4-8A2C-16617A9D5EB8}"/>
    <cellStyle name="Moneda 70 3 2 2" xfId="12089" xr:uid="{9CF72998-BF47-482F-8E99-1A1176D70CA6}"/>
    <cellStyle name="Moneda 70 3 3" xfId="9169" xr:uid="{1280D18C-2342-402C-9EA7-C17953E3E9AB}"/>
    <cellStyle name="Moneda 70 4" xfId="1940" xr:uid="{7A47038A-15BF-4886-835B-E6DE5C462227}"/>
    <cellStyle name="Moneda 70 4 2" xfId="4899" xr:uid="{8D377555-9FAE-4F1C-A93E-C29962667F37}"/>
    <cellStyle name="Moneda 70 4 2 2" xfId="12467" xr:uid="{F55D54C5-1E13-41D5-803C-3CF233F2AC97}"/>
    <cellStyle name="Moneda 70 4 3" xfId="9547" xr:uid="{5E8DBCBD-687D-4BB3-BEC4-A48BDD578271}"/>
    <cellStyle name="Moneda 70 5" xfId="3626" xr:uid="{ADCB184F-8269-4942-8D68-9E3D79A2D296}"/>
    <cellStyle name="Moneda 70 5 2" xfId="11194" xr:uid="{8C50A69D-C292-4E96-9638-F2D5B0E2BFBB}"/>
    <cellStyle name="Moneda 70 6" xfId="8274" xr:uid="{7EE0A5AD-7727-409F-B32E-E2ABD6B72599}"/>
    <cellStyle name="Moneda 71" xfId="397" xr:uid="{F8CC29F1-6AAA-4A6F-BB14-F849DF28AE13}"/>
    <cellStyle name="Moneda 71 2" xfId="1199" xr:uid="{6021347D-AB6C-4400-972C-340765C82E74}"/>
    <cellStyle name="Moneda 71 2 2" xfId="4159" xr:uid="{3193603F-12FE-4A60-884F-FD2276E0666F}"/>
    <cellStyle name="Moneda 71 2 2 2" xfId="11727" xr:uid="{1272EAA7-5061-419F-8CD7-97F99EEED8CB}"/>
    <cellStyle name="Moneda 71 2 3" xfId="8807" xr:uid="{138737ED-6706-44CB-94A5-5A6A2566BDF3}"/>
    <cellStyle name="Moneda 71 3" xfId="1563" xr:uid="{37140E4B-5FAF-414D-BE90-7AB0B0209F75}"/>
    <cellStyle name="Moneda 71 3 2" xfId="4523" xr:uid="{38A907D1-D8AB-4BB3-9B09-A514533A8D50}"/>
    <cellStyle name="Moneda 71 3 2 2" xfId="12091" xr:uid="{67AEF8D4-451E-448C-9A97-FE991789F402}"/>
    <cellStyle name="Moneda 71 3 3" xfId="9171" xr:uid="{2ADB27C0-CD19-4F33-A60E-F8926EBBF0B6}"/>
    <cellStyle name="Moneda 71 4" xfId="1942" xr:uid="{E099D809-A557-4122-AEAA-1241BF525C0C}"/>
    <cellStyle name="Moneda 71 4 2" xfId="4901" xr:uid="{7728801F-EBF4-450E-BECA-8EEF6FAAF485}"/>
    <cellStyle name="Moneda 71 4 2 2" xfId="12469" xr:uid="{D21DFFFB-B565-4F24-9B76-88F25FFB7BDA}"/>
    <cellStyle name="Moneda 71 4 3" xfId="9549" xr:uid="{6C4BDD2D-C85A-4419-B634-66DF337843B8}"/>
    <cellStyle name="Moneda 71 5" xfId="3628" xr:uid="{5E69968B-18F7-4A76-9BA7-80451BD386C5}"/>
    <cellStyle name="Moneda 71 5 2" xfId="11196" xr:uid="{B6BE7CD5-D32E-4EBE-B6D7-FA98FC563D71}"/>
    <cellStyle name="Moneda 71 6" xfId="8276" xr:uid="{877C600A-7867-42BE-B1F3-E4A250D12412}"/>
    <cellStyle name="Moneda 72" xfId="400" xr:uid="{5D783DB7-4974-46F4-903A-729B5C9B9AB4}"/>
    <cellStyle name="Moneda 72 2" xfId="1201" xr:uid="{D9D3EAC8-D802-4EBA-8F84-146A315C6882}"/>
    <cellStyle name="Moneda 72 2 2" xfId="4161" xr:uid="{03C16E99-D02D-4869-8ADA-1BBEB9E7FF7F}"/>
    <cellStyle name="Moneda 72 2 2 2" xfId="11729" xr:uid="{EF95099D-02F6-450B-95D2-B6E4DED531D5}"/>
    <cellStyle name="Moneda 72 2 3" xfId="8809" xr:uid="{0D93CAEE-3B58-47F5-990B-24DD557988DD}"/>
    <cellStyle name="Moneda 72 3" xfId="1565" xr:uid="{8B5953CD-5C83-4D67-9ABB-E5E2F8D4D5B2}"/>
    <cellStyle name="Moneda 72 3 2" xfId="4525" xr:uid="{D034B159-A0D2-4756-BC08-2DAEE6DA66EB}"/>
    <cellStyle name="Moneda 72 3 2 2" xfId="12093" xr:uid="{A2780D69-8697-4608-A2FF-6D38AC3EC850}"/>
    <cellStyle name="Moneda 72 3 3" xfId="9173" xr:uid="{684EA90E-1BAF-4C47-B758-C5C1070087A7}"/>
    <cellStyle name="Moneda 72 4" xfId="1944" xr:uid="{FF93491B-F822-4465-A044-812E31A40BBC}"/>
    <cellStyle name="Moneda 72 4 2" xfId="4903" xr:uid="{7068C0BF-93DD-4B93-A6DB-91C84026E0EF}"/>
    <cellStyle name="Moneda 72 4 2 2" xfId="12471" xr:uid="{FCDC3C7E-4D51-4859-9C26-D11489D42444}"/>
    <cellStyle name="Moneda 72 4 3" xfId="9551" xr:uid="{D7F7BAB4-7FA0-4AEB-B426-B7EF22A9305E}"/>
    <cellStyle name="Moneda 72 5" xfId="3630" xr:uid="{D58ED43F-6954-4AFC-9370-868ED761F0FE}"/>
    <cellStyle name="Moneda 72 5 2" xfId="11198" xr:uid="{85459C9B-0D3C-4726-86A1-0CAE8188C7FE}"/>
    <cellStyle name="Moneda 72 6" xfId="8278" xr:uid="{BA9AF56F-A5FB-4339-9D1E-A56597420E9C}"/>
    <cellStyle name="Moneda 73" xfId="403" xr:uid="{B35B0575-0947-4C33-A469-BD0CAEF63D69}"/>
    <cellStyle name="Moneda 73 2" xfId="1203" xr:uid="{ADFF7127-634F-470D-AF7F-814B25FA4B23}"/>
    <cellStyle name="Moneda 73 2 2" xfId="4163" xr:uid="{7580C403-C187-403E-B755-8A8DD4E8E1C6}"/>
    <cellStyle name="Moneda 73 2 2 2" xfId="11731" xr:uid="{DF5399F6-14DF-4B51-8C97-8818D5EFA03F}"/>
    <cellStyle name="Moneda 73 2 3" xfId="8811" xr:uid="{EE781353-CCB1-4471-8BD7-DFA335C36B7E}"/>
    <cellStyle name="Moneda 73 3" xfId="1567" xr:uid="{908142A9-0736-4965-A0E2-994EE308D1D6}"/>
    <cellStyle name="Moneda 73 3 2" xfId="4527" xr:uid="{EE382701-5CAA-426D-A72F-752A87A90316}"/>
    <cellStyle name="Moneda 73 3 2 2" xfId="12095" xr:uid="{B0C1016A-CE54-49B0-96EC-AE8B5AF1E80E}"/>
    <cellStyle name="Moneda 73 3 3" xfId="9175" xr:uid="{5D79156C-5EE9-4E78-9728-0D602376218B}"/>
    <cellStyle name="Moneda 73 4" xfId="1946" xr:uid="{BA85575F-587B-48FF-BCE3-7967B1877B83}"/>
    <cellStyle name="Moneda 73 4 2" xfId="4905" xr:uid="{0B21957E-D45A-4CC1-B93E-28DF597FAD80}"/>
    <cellStyle name="Moneda 73 4 2 2" xfId="12473" xr:uid="{4FFC2119-E828-4ADA-9039-82607B2C87C7}"/>
    <cellStyle name="Moneda 73 4 3" xfId="9553" xr:uid="{0E216AD0-B981-47F4-ACB1-6DA8092FDFF2}"/>
    <cellStyle name="Moneda 73 5" xfId="3632" xr:uid="{BFD7845C-156E-4B58-9EE5-70677138F133}"/>
    <cellStyle name="Moneda 73 5 2" xfId="11200" xr:uid="{C91F6228-2069-4CD4-B80B-86A081A1FDC8}"/>
    <cellStyle name="Moneda 73 6" xfId="8280" xr:uid="{E27402CC-6F64-4DD0-A01A-C221FEFB2A82}"/>
    <cellStyle name="Moneda 74" xfId="406" xr:uid="{4E99F9E7-FE5C-4372-8716-A977BCE3BC51}"/>
    <cellStyle name="Moneda 74 2" xfId="1205" xr:uid="{CBDC365A-A574-4F78-A6EA-B838745972DD}"/>
    <cellStyle name="Moneda 74 2 2" xfId="4165" xr:uid="{9B28D2EE-E217-45BD-AB43-0B7DEFC02D05}"/>
    <cellStyle name="Moneda 74 2 2 2" xfId="11733" xr:uid="{6206120F-43B6-43A8-87A6-615FA10824B7}"/>
    <cellStyle name="Moneda 74 2 3" xfId="8813" xr:uid="{0317AE37-5063-45BA-8F70-EE9F832FE12C}"/>
    <cellStyle name="Moneda 74 3" xfId="1569" xr:uid="{57302885-4A9E-450E-8AC7-9025523A4756}"/>
    <cellStyle name="Moneda 74 3 2" xfId="4529" xr:uid="{D0ECE940-62A4-4C6B-938A-8A421599D52B}"/>
    <cellStyle name="Moneda 74 3 2 2" xfId="12097" xr:uid="{03633EDD-D85F-4C83-872A-80103FCFE998}"/>
    <cellStyle name="Moneda 74 3 3" xfId="9177" xr:uid="{3AFFC2D3-773F-4C94-B58F-B4DE0E6073E2}"/>
    <cellStyle name="Moneda 74 4" xfId="1948" xr:uid="{A0371EBB-6180-4811-8C6A-00A54272CFD2}"/>
    <cellStyle name="Moneda 74 4 2" xfId="4907" xr:uid="{0CDFD0A6-50F6-4944-A3A8-8D6EFB7732A2}"/>
    <cellStyle name="Moneda 74 4 2 2" xfId="12475" xr:uid="{62077975-57B8-4140-8D1F-02FEC45E6692}"/>
    <cellStyle name="Moneda 74 4 3" xfId="9555" xr:uid="{5A8968B4-EFEF-4998-B5E0-618F97841B1C}"/>
    <cellStyle name="Moneda 74 5" xfId="3634" xr:uid="{08EF5320-0046-4759-ADAF-43B8672D637B}"/>
    <cellStyle name="Moneda 74 5 2" xfId="11202" xr:uid="{4BB524B7-C81D-4A95-AAD1-01C2D7088D2C}"/>
    <cellStyle name="Moneda 74 6" xfId="8282" xr:uid="{4C35F55B-BC67-4C80-BACE-4220A09ADE86}"/>
    <cellStyle name="Moneda 75" xfId="409" xr:uid="{DA68C329-95EB-4D8D-AD39-736931F4C0ED}"/>
    <cellStyle name="Moneda 75 2" xfId="1207" xr:uid="{C3564DC4-2B62-43F5-8477-617056957D91}"/>
    <cellStyle name="Moneda 75 2 2" xfId="4167" xr:uid="{FB5FB3C5-5737-4326-8B11-97B0EF948C09}"/>
    <cellStyle name="Moneda 75 2 2 2" xfId="11735" xr:uid="{AFD59332-E22A-4275-AE09-95DA3A7B290F}"/>
    <cellStyle name="Moneda 75 2 3" xfId="8815" xr:uid="{92DA3FB7-8113-4DDC-BFC7-7E9D48AE1C8C}"/>
    <cellStyle name="Moneda 75 3" xfId="1571" xr:uid="{5B12CD8F-857D-4F2B-AB3A-02145503D383}"/>
    <cellStyle name="Moneda 75 3 2" xfId="4531" xr:uid="{DEDE7B1F-3D40-40E0-A58F-B747F7CAE4CF}"/>
    <cellStyle name="Moneda 75 3 2 2" xfId="12099" xr:uid="{72324E5E-76DB-4BB5-9C14-FF3D43E14FC2}"/>
    <cellStyle name="Moneda 75 3 3" xfId="9179" xr:uid="{8BB2D32C-D729-40CA-9F18-F08B0826C04C}"/>
    <cellStyle name="Moneda 75 4" xfId="1950" xr:uid="{EBAF17A7-0754-4A02-BD61-251B772572A8}"/>
    <cellStyle name="Moneda 75 4 2" xfId="4909" xr:uid="{66BFBC8E-87DF-41A6-A0F3-E7D3BC8CD3D6}"/>
    <cellStyle name="Moneda 75 4 2 2" xfId="12477" xr:uid="{299BE144-2B43-4783-99D0-E144577403C9}"/>
    <cellStyle name="Moneda 75 4 3" xfId="9557" xr:uid="{AC52FD17-DDE1-4A14-ACAC-1098CE58D29B}"/>
    <cellStyle name="Moneda 75 5" xfId="3636" xr:uid="{DCC1E5F6-2892-4D87-B11F-FD28D8227590}"/>
    <cellStyle name="Moneda 75 5 2" xfId="11204" xr:uid="{764043D5-4858-4A07-B2A4-2301B1B1DFCF}"/>
    <cellStyle name="Moneda 75 6" xfId="8284" xr:uid="{8136EDEE-F2AC-4AD4-8FBB-FEDA3D1B2C6E}"/>
    <cellStyle name="Moneda 76" xfId="412" xr:uid="{1AE8B5ED-92CE-484E-8E15-6B43903DFD99}"/>
    <cellStyle name="Moneda 76 2" xfId="1209" xr:uid="{D7F7ED0C-738D-4D5D-B018-F10A544BFB9E}"/>
    <cellStyle name="Moneda 76 2 2" xfId="4169" xr:uid="{628412D7-32F8-4BDF-9998-9C80CFFDD1BD}"/>
    <cellStyle name="Moneda 76 2 2 2" xfId="11737" xr:uid="{2C173259-155D-4E0A-A194-BB90394380AC}"/>
    <cellStyle name="Moneda 76 2 3" xfId="8817" xr:uid="{82075DBE-4150-4B58-91BB-8BDBB48A045B}"/>
    <cellStyle name="Moneda 76 3" xfId="1573" xr:uid="{2EEEB3EB-11C7-4FD0-832D-D86B945955BD}"/>
    <cellStyle name="Moneda 76 3 2" xfId="4533" xr:uid="{4275AA09-286E-4AE9-8285-6D01158CBE39}"/>
    <cellStyle name="Moneda 76 3 2 2" xfId="12101" xr:uid="{DBD9E2FF-D9A0-4A1E-9989-89164A36EE9D}"/>
    <cellStyle name="Moneda 76 3 3" xfId="9181" xr:uid="{64CAAB39-4D4D-4559-9AF5-8764A7ADCA7E}"/>
    <cellStyle name="Moneda 76 4" xfId="1952" xr:uid="{BB6CFB88-823D-456D-8828-01FFF22132BF}"/>
    <cellStyle name="Moneda 76 4 2" xfId="4911" xr:uid="{C9C2E599-462A-4A83-9E90-91C369B20A90}"/>
    <cellStyle name="Moneda 76 4 2 2" xfId="12479" xr:uid="{9CFEBA5A-0ED1-4A35-A4D3-CD88E12FB8DA}"/>
    <cellStyle name="Moneda 76 4 3" xfId="9559" xr:uid="{2C3BC211-01F1-415B-B1E6-4A6EC0128546}"/>
    <cellStyle name="Moneda 76 5" xfId="3638" xr:uid="{72EBE3C5-1FE8-42DB-8E0B-8574B8BA0CCE}"/>
    <cellStyle name="Moneda 76 5 2" xfId="11206" xr:uid="{0E4B44EC-0C48-42E8-A8D0-6732772A71D9}"/>
    <cellStyle name="Moneda 76 6" xfId="8286" xr:uid="{C7D72069-D2C3-4455-8ED2-71A8423032EF}"/>
    <cellStyle name="Moneda 77" xfId="415" xr:uid="{B0721A51-0BDB-4806-AAD4-056973D0FD9B}"/>
    <cellStyle name="Moneda 77 2" xfId="1211" xr:uid="{3737C7AE-A54E-4AC8-B0DE-EC6473B36441}"/>
    <cellStyle name="Moneda 77 2 2" xfId="4171" xr:uid="{7981E8F4-EF38-4639-B2B9-7ADCA61E9FE6}"/>
    <cellStyle name="Moneda 77 2 2 2" xfId="11739" xr:uid="{094DC961-2432-43A1-8B46-809EDDDCE951}"/>
    <cellStyle name="Moneda 77 2 3" xfId="8819" xr:uid="{49DE99E9-A00B-432E-B3AF-12B8D0AB8A75}"/>
    <cellStyle name="Moneda 77 3" xfId="1575" xr:uid="{BE4C2833-EEAA-4958-A30C-90125617A0CA}"/>
    <cellStyle name="Moneda 77 3 2" xfId="4535" xr:uid="{45F9CFE3-2C8B-4749-A78B-C68834E8A1AE}"/>
    <cellStyle name="Moneda 77 3 2 2" xfId="12103" xr:uid="{57F27052-0C48-4B03-9601-3A1DF0E81956}"/>
    <cellStyle name="Moneda 77 3 3" xfId="9183" xr:uid="{64BAF3CA-EB4D-4040-BEC0-9D6F38935798}"/>
    <cellStyle name="Moneda 77 4" xfId="1954" xr:uid="{2CBA9FEE-7881-4215-A34C-C7102D91B2EB}"/>
    <cellStyle name="Moneda 77 4 2" xfId="4913" xr:uid="{F803E983-D32F-411A-93FB-4CDDA3BB7CE9}"/>
    <cellStyle name="Moneda 77 4 2 2" xfId="12481" xr:uid="{52648FCE-4EB0-449A-B5FF-F2C35D78D535}"/>
    <cellStyle name="Moneda 77 4 3" xfId="9561" xr:uid="{028744A7-F59C-4DBA-B962-B26D1E1B48DD}"/>
    <cellStyle name="Moneda 77 5" xfId="3640" xr:uid="{6E0813BE-FC43-4B16-92DB-41D321CDD438}"/>
    <cellStyle name="Moneda 77 5 2" xfId="11208" xr:uid="{CF214F8B-FE0D-4931-92E0-1CEB98EEAFD8}"/>
    <cellStyle name="Moneda 77 6" xfId="8288" xr:uid="{79F0CE56-AC92-4173-8FB7-B576AC59941E}"/>
    <cellStyle name="Moneda 78" xfId="418" xr:uid="{EEE94B42-43EE-4022-9A89-636B696D66F4}"/>
    <cellStyle name="Moneda 78 2" xfId="1213" xr:uid="{9242603D-F082-49D5-9613-92E9589182E7}"/>
    <cellStyle name="Moneda 78 2 2" xfId="4173" xr:uid="{FD78BBDC-2B05-41FE-BC06-20037FD5DF42}"/>
    <cellStyle name="Moneda 78 2 2 2" xfId="11741" xr:uid="{0CB52FC0-9322-47BA-918D-D73299FCFF1A}"/>
    <cellStyle name="Moneda 78 2 3" xfId="8821" xr:uid="{3E8ED93F-FD28-4C52-9AFC-CCC1A20B98DC}"/>
    <cellStyle name="Moneda 78 3" xfId="1577" xr:uid="{08AE1077-447A-4977-9BEF-F0BFD795D488}"/>
    <cellStyle name="Moneda 78 3 2" xfId="4537" xr:uid="{44409BF3-071B-433F-B76C-861DB12C38A3}"/>
    <cellStyle name="Moneda 78 3 2 2" xfId="12105" xr:uid="{46AD603B-96B5-4861-A3FA-DB02F08CC3A6}"/>
    <cellStyle name="Moneda 78 3 3" xfId="9185" xr:uid="{897D3651-7CAB-4B11-A39E-A9B56B398EE0}"/>
    <cellStyle name="Moneda 78 4" xfId="1956" xr:uid="{B3C3FCAE-35A0-4F5B-96C8-200E54AC0CB7}"/>
    <cellStyle name="Moneda 78 4 2" xfId="4915" xr:uid="{FD5F09B6-F1D2-4326-B1EA-01C2DD77E01D}"/>
    <cellStyle name="Moneda 78 4 2 2" xfId="12483" xr:uid="{56DC737D-7ED3-4085-BC53-79439A09E444}"/>
    <cellStyle name="Moneda 78 4 3" xfId="9563" xr:uid="{8412BF74-C2B2-4B3B-9B3C-121C43197A8F}"/>
    <cellStyle name="Moneda 78 5" xfId="3642" xr:uid="{B5C75089-02DD-4E9B-807F-87AFEABDEFB8}"/>
    <cellStyle name="Moneda 78 5 2" xfId="11210" xr:uid="{22428A61-6EFC-4046-9C4A-CE4DD91EA411}"/>
    <cellStyle name="Moneda 78 6" xfId="8290" xr:uid="{6127B4F2-16B9-4E50-B161-5B1AA9353E24}"/>
    <cellStyle name="Moneda 79" xfId="421" xr:uid="{360280AE-2CA3-4267-B30D-B1F0CF10D5E6}"/>
    <cellStyle name="Moneda 79 2" xfId="1215" xr:uid="{BE9F70FD-DA43-4C51-8E88-5D785924E71B}"/>
    <cellStyle name="Moneda 79 2 2" xfId="4175" xr:uid="{F2EB8BCC-7CD3-4B3A-834E-A8CD3596D164}"/>
    <cellStyle name="Moneda 79 2 2 2" xfId="11743" xr:uid="{B3EB68A5-A75C-420D-8349-0DF9500EAAC1}"/>
    <cellStyle name="Moneda 79 2 3" xfId="8823" xr:uid="{3FDDFF42-1810-4E0C-86A3-96CFE19EF850}"/>
    <cellStyle name="Moneda 79 3" xfId="1579" xr:uid="{0D3F07AB-33D0-412A-9CAC-5472A9DAEBAC}"/>
    <cellStyle name="Moneda 79 3 2" xfId="4539" xr:uid="{52367606-F3DE-4499-A51C-B76779636A73}"/>
    <cellStyle name="Moneda 79 3 2 2" xfId="12107" xr:uid="{B61564A2-9BD5-4C91-A612-BB0D3D67071D}"/>
    <cellStyle name="Moneda 79 3 3" xfId="9187" xr:uid="{0CB6CFC8-9B22-4A4E-AD15-077039B66347}"/>
    <cellStyle name="Moneda 79 4" xfId="1958" xr:uid="{B4F57D2C-6A3F-475A-BA98-E37AA53DBE7B}"/>
    <cellStyle name="Moneda 79 4 2" xfId="4917" xr:uid="{493AF047-7105-49F0-8EB9-03EAB3D86168}"/>
    <cellStyle name="Moneda 79 4 2 2" xfId="12485" xr:uid="{ABA6A89A-434A-4879-BD02-D8D84340563D}"/>
    <cellStyle name="Moneda 79 4 3" xfId="9565" xr:uid="{A36529CD-D4A2-48F6-BC19-CE0F6BAA7EC2}"/>
    <cellStyle name="Moneda 79 5" xfId="3644" xr:uid="{F9F9BC7A-F783-4DFE-953F-F6BA7B4004F6}"/>
    <cellStyle name="Moneda 79 5 2" xfId="11212" xr:uid="{779155C9-3AE1-48FF-8F18-991C4622F97E}"/>
    <cellStyle name="Moneda 79 6" xfId="8292" xr:uid="{FB2666F8-337F-4A9F-95DF-758BC322D105}"/>
    <cellStyle name="Moneda 8" xfId="38" xr:uid="{00000000-0005-0000-0000-000062000000}"/>
    <cellStyle name="Moneda 8 10" xfId="3197" xr:uid="{2573D9EB-2C90-42A2-94BB-4FE6F95334E3}"/>
    <cellStyle name="Moneda 8 10 2" xfId="6201" xr:uid="{7848F19A-5F9E-4624-BCBF-4C1D64FC456F}"/>
    <cellStyle name="Moneda 8 10 2 2" xfId="13762" xr:uid="{8CC466F2-9E88-45A9-8CBE-903988B01EC3}"/>
    <cellStyle name="Moneda 8 10 3" xfId="7605" xr:uid="{B3152615-15C9-4BE3-9E9F-0EF95F31661C}"/>
    <cellStyle name="Moneda 8 10 3 2" xfId="15134" xr:uid="{B4CF0647-79BD-4458-B337-980128E106F4}"/>
    <cellStyle name="Moneda 8 10 4" xfId="10779" xr:uid="{604D04D2-DAFA-4337-84D6-C8D9295281F3}"/>
    <cellStyle name="Moneda 8 11" xfId="3325" xr:uid="{C6959935-C5E6-4CE3-BC05-FF9A08764057}"/>
    <cellStyle name="Moneda 8 11 2" xfId="6327" xr:uid="{A09EC946-68CC-430F-AE30-58B059579ABE}"/>
    <cellStyle name="Moneda 8 11 2 2" xfId="13888" xr:uid="{C1BA8A09-65B9-41BE-B769-35E6CF6EF729}"/>
    <cellStyle name="Moneda 8 11 3" xfId="7731" xr:uid="{CD7239B9-5DB9-42B4-BCB9-D31F174E47D9}"/>
    <cellStyle name="Moneda 8 11 3 2" xfId="15260" xr:uid="{0D016318-20B7-41F0-BBD5-373640F66D58}"/>
    <cellStyle name="Moneda 8 11 4" xfId="10905" xr:uid="{DF979314-58C5-47CE-9FB0-2645604C019E}"/>
    <cellStyle name="Moneda 8 12" xfId="2321" xr:uid="{12590D3D-F535-4F34-B66A-6EA3088858DC}"/>
    <cellStyle name="Moneda 8 12 2" xfId="6463" xr:uid="{14A03FF7-C9A8-4BF0-8A2C-5C3493F43608}"/>
    <cellStyle name="Moneda 8 12 2 2" xfId="14019" xr:uid="{BA26F0FA-9B2A-4838-A7D6-08FE1122C1D0}"/>
    <cellStyle name="Moneda 8 12 3" xfId="7862" xr:uid="{086CF097-E7CD-4005-9172-F112B8B32381}"/>
    <cellStyle name="Moneda 8 12 3 2" xfId="15391" xr:uid="{0F27D4A6-65C2-4827-B1D9-90C6DBC3C34C}"/>
    <cellStyle name="Moneda 8 12 4" xfId="9919" xr:uid="{13853044-89ED-4A73-9A5F-CD99EDB5A847}"/>
    <cellStyle name="Moneda 8 13" xfId="3487" xr:uid="{E7DC91FB-3F0A-4E19-B465-305E99F99357}"/>
    <cellStyle name="Moneda 8 13 2" xfId="11055" xr:uid="{D6DB1585-120D-4252-AFB3-DE2BBA07D9D6}"/>
    <cellStyle name="Moneda 8 14" xfId="5340" xr:uid="{CEEF0795-B44E-4A07-8C01-7EB225B8E593}"/>
    <cellStyle name="Moneda 8 14 2" xfId="12901" xr:uid="{798F818D-44C1-4693-B3B8-DABA1DD85C36}"/>
    <cellStyle name="Moneda 8 15" xfId="6744" xr:uid="{CF56A576-13BE-4D12-856F-121E8C129E19}"/>
    <cellStyle name="Moneda 8 15 2" xfId="14273" xr:uid="{D5ACB4F0-3FF2-4100-94EB-FE96E77A6675}"/>
    <cellStyle name="Moneda 8 16" xfId="8135" xr:uid="{110D914C-70D4-427F-B212-4C73B6695452}"/>
    <cellStyle name="Moneda 8 17" xfId="181" xr:uid="{58389263-B5E3-4962-BF78-1F75663D3373}"/>
    <cellStyle name="Moneda 8 2" xfId="1073" xr:uid="{98DB28CD-F312-4C90-B11E-25C6281CD975}"/>
    <cellStyle name="Moneda 8 2 10" xfId="3354" xr:uid="{7972BD7E-6230-46CD-8733-9E7CF3859993}"/>
    <cellStyle name="Moneda 8 2 10 2" xfId="6356" xr:uid="{3BD32986-08DD-478C-A980-992A0A75ED90}"/>
    <cellStyle name="Moneda 8 2 10 2 2" xfId="13917" xr:uid="{5E705086-3E95-4B20-9A0F-91694CA6AE79}"/>
    <cellStyle name="Moneda 8 2 10 3" xfId="7760" xr:uid="{15537CF7-A7C9-4831-8A7E-2227F447431C}"/>
    <cellStyle name="Moneda 8 2 10 3 2" xfId="15289" xr:uid="{6134C3B9-1F91-4048-BD3D-587500EFE7F7}"/>
    <cellStyle name="Moneda 8 2 10 4" xfId="10934" xr:uid="{57FC6985-BB16-4364-A0F5-67B7DD9A7BB6}"/>
    <cellStyle name="Moneda 8 2 11" xfId="2356" xr:uid="{F52A443B-215D-4E3B-B479-C6F866A0B826}"/>
    <cellStyle name="Moneda 8 2 11 2" xfId="6492" xr:uid="{5C23A853-7B1B-4A8F-84AE-6292A2C8C7FD}"/>
    <cellStyle name="Moneda 8 2 11 2 2" xfId="14048" xr:uid="{5F766FA8-F4B4-4F89-AA1C-7E81EC93FCB8}"/>
    <cellStyle name="Moneda 8 2 11 3" xfId="7891" xr:uid="{54122D5A-025A-4155-8F8C-4A4C0AECB1DC}"/>
    <cellStyle name="Moneda 8 2 11 3 2" xfId="15420" xr:uid="{0D1D45A8-5F80-4817-AC3F-C4AA06F2E07A}"/>
    <cellStyle name="Moneda 8 2 11 4" xfId="9949" xr:uid="{0CDB6153-1C72-451F-A4EA-C3A25724E8E6}"/>
    <cellStyle name="Moneda 8 2 12" xfId="4033" xr:uid="{F2900F2A-FCA9-4299-A7D8-BB43406E188D}"/>
    <cellStyle name="Moneda 8 2 12 2" xfId="11601" xr:uid="{45D4585B-37B5-46B3-A866-AEAB1D517C4A}"/>
    <cellStyle name="Moneda 8 2 13" xfId="5371" xr:uid="{50AD9D5A-F775-4877-A764-46A8D34BEE38}"/>
    <cellStyle name="Moneda 8 2 13 2" xfId="12932" xr:uid="{439E7984-B720-4F6A-9D04-639D42F1FDD8}"/>
    <cellStyle name="Moneda 8 2 14" xfId="6775" xr:uid="{74730CB1-F0DC-4523-B05F-6B31DB649E36}"/>
    <cellStyle name="Moneda 8 2 14 2" xfId="14304" xr:uid="{BF48A6E4-2B0A-42A4-89D2-31320EE2B01B}"/>
    <cellStyle name="Moneda 8 2 15" xfId="8681" xr:uid="{3C913E42-50D0-48B4-85BD-8482832B5842}"/>
    <cellStyle name="Moneda 8 2 2" xfId="2419" xr:uid="{F864FA5A-E790-48F3-BA91-903E780D54B7}"/>
    <cellStyle name="Moneda 8 2 2 10" xfId="6550" xr:uid="{059A7DB4-2BE5-43A8-9F9B-D68BE478A9A1}"/>
    <cellStyle name="Moneda 8 2 2 10 2" xfId="7949" xr:uid="{AC652897-6D45-452C-B242-5B21917B02D0}"/>
    <cellStyle name="Moneda 8 2 2 10 2 2" xfId="15478" xr:uid="{49C9C589-EEF7-4DE7-BA64-9856761CF5D5}"/>
    <cellStyle name="Moneda 8 2 2 10 3" xfId="14106" xr:uid="{78C01B0C-EADB-4D13-9B42-8E8FBD66DF37}"/>
    <cellStyle name="Moneda 8 2 2 11" xfId="5429" xr:uid="{BA765AD6-8AB8-49F6-A37F-B459D8C055AB}"/>
    <cellStyle name="Moneda 8 2 2 11 2" xfId="12990" xr:uid="{6EB07B75-3DB6-4670-A329-049485922B87}"/>
    <cellStyle name="Moneda 8 2 2 12" xfId="6833" xr:uid="{189B253E-F7D8-4FD7-9A71-4E61D5B452AD}"/>
    <cellStyle name="Moneda 8 2 2 12 2" xfId="14362" xr:uid="{E499E431-7315-4DB6-ACCE-FE2FB1E1707E}"/>
    <cellStyle name="Moneda 8 2 2 13" xfId="10007" xr:uid="{4446003D-AF4D-4413-AD5E-EFCD0DA89ED2}"/>
    <cellStyle name="Moneda 8 2 2 2" xfId="2543" xr:uid="{1BC57C31-DCD5-4246-8F63-388625A5D2B3}"/>
    <cellStyle name="Moneda 8 2 2 2 2" xfId="6685" xr:uid="{22E5EDF0-5677-41A7-B009-609618E7E309}"/>
    <cellStyle name="Moneda 8 2 2 2 2 2" xfId="8071" xr:uid="{522ECA89-729D-422B-AAF9-0DBA6FFBA77F}"/>
    <cellStyle name="Moneda 8 2 2 2 2 2 2" xfId="15600" xr:uid="{94A80491-C104-486F-8388-AFF5C5D54CAA}"/>
    <cellStyle name="Moneda 8 2 2 2 2 3" xfId="14228" xr:uid="{8696D710-7657-4506-AD0F-25DF25A8E00F}"/>
    <cellStyle name="Moneda 8 2 2 2 3" xfId="5549" xr:uid="{92064824-5E90-4C35-A74C-1AB9D57D0D72}"/>
    <cellStyle name="Moneda 8 2 2 2 3 2" xfId="13110" xr:uid="{674BCEBD-BB27-4017-8FAC-06A5C5C2C9AD}"/>
    <cellStyle name="Moneda 8 2 2 2 4" xfId="6953" xr:uid="{1D54B7D8-C883-4778-9E9D-A916A2FDAB2D}"/>
    <cellStyle name="Moneda 8 2 2 2 4 2" xfId="14482" xr:uid="{577DE8D0-BA24-4117-90DF-FE998B7F3FC6}"/>
    <cellStyle name="Moneda 8 2 2 2 5" xfId="10127" xr:uid="{AB31372A-372B-415B-8027-3891F625E301}"/>
    <cellStyle name="Moneda 8 2 2 3" xfId="2664" xr:uid="{A66B0F4A-29C5-4B2B-8191-1F8F875FB4BB}"/>
    <cellStyle name="Moneda 8 2 2 3 2" xfId="5669" xr:uid="{A7A28FC5-5D7B-4DAE-A1E4-F74C3AC7AC7A}"/>
    <cellStyle name="Moneda 8 2 2 3 2 2" xfId="13230" xr:uid="{0E6ACDEE-B0E5-459F-BD62-DE5181CC86A1}"/>
    <cellStyle name="Moneda 8 2 2 3 3" xfId="7073" xr:uid="{7E380707-8718-426C-8DD8-BBE83ADDC39A}"/>
    <cellStyle name="Moneda 8 2 2 3 3 2" xfId="14602" xr:uid="{6E6BF5B6-E21C-452B-BF49-3CF2183798D0}"/>
    <cellStyle name="Moneda 8 2 2 3 4" xfId="10247" xr:uid="{527F466B-2CBE-4CA3-9294-2D6B666B52BB}"/>
    <cellStyle name="Moneda 8 2 2 4" xfId="2786" xr:uid="{1BA62EE5-E83D-4098-B911-FCFD3EFC9526}"/>
    <cellStyle name="Moneda 8 2 2 4 2" xfId="5791" xr:uid="{264068FA-5791-4C2E-A835-3EDEB24B363B}"/>
    <cellStyle name="Moneda 8 2 2 4 2 2" xfId="13352" xr:uid="{F4D82584-732B-40A5-88E9-E18BE349B6DA}"/>
    <cellStyle name="Moneda 8 2 2 4 3" xfId="7195" xr:uid="{E49475DB-4AC4-4AD7-9993-DF133599C4AA}"/>
    <cellStyle name="Moneda 8 2 2 4 3 2" xfId="14724" xr:uid="{4C8232B8-FB60-4EC0-844D-11E45CC29972}"/>
    <cellStyle name="Moneda 8 2 2 4 4" xfId="10369" xr:uid="{4E65FB99-1E42-49A5-A4F3-327B92BD75FC}"/>
    <cellStyle name="Moneda 8 2 2 5" xfId="2911" xr:uid="{109317E5-99D9-4425-85CC-CA080BEEB9E6}"/>
    <cellStyle name="Moneda 8 2 2 5 2" xfId="5915" xr:uid="{6FC68B1A-E0E1-438A-9917-5D45E5C5A04D}"/>
    <cellStyle name="Moneda 8 2 2 5 2 2" xfId="13476" xr:uid="{9BAF936F-BD38-40B9-BFA6-A6FFDC011317}"/>
    <cellStyle name="Moneda 8 2 2 5 3" xfId="7319" xr:uid="{551BAA1A-AF13-4CBF-BA3D-A8B7280BD0AF}"/>
    <cellStyle name="Moneda 8 2 2 5 3 2" xfId="14848" xr:uid="{3C50C7FB-8C0C-466D-A4D5-55211BE63F09}"/>
    <cellStyle name="Moneda 8 2 2 5 4" xfId="10493" xr:uid="{7E238BC9-8D73-4D25-9E55-60E7415A4180}"/>
    <cellStyle name="Moneda 8 2 2 6" xfId="3035" xr:uid="{2A746FEA-E83C-4AA3-A923-58922608AF9A}"/>
    <cellStyle name="Moneda 8 2 2 6 2" xfId="6039" xr:uid="{73F51176-91E9-40B0-B0D2-42F4363F0FD3}"/>
    <cellStyle name="Moneda 8 2 2 6 2 2" xfId="13600" xr:uid="{81C6B1D2-E368-42ED-9164-B5815CDA4347}"/>
    <cellStyle name="Moneda 8 2 2 6 3" xfId="7443" xr:uid="{0E90BE9D-2556-48C9-ADC2-FFA6271DBA9F}"/>
    <cellStyle name="Moneda 8 2 2 6 3 2" xfId="14972" xr:uid="{96E82F86-1DAF-4E8E-82FD-0CBD3CDFB054}"/>
    <cellStyle name="Moneda 8 2 2 6 4" xfId="10617" xr:uid="{095EF08A-17C5-40A3-8A40-B59139BAB2D9}"/>
    <cellStyle name="Moneda 8 2 2 7" xfId="3159" xr:uid="{9EC6A07A-5CFC-4D95-97E7-FDD2B588D717}"/>
    <cellStyle name="Moneda 8 2 2 7 2" xfId="6163" xr:uid="{DD70D5FF-B59A-4B8B-8843-2768EFF3F2D6}"/>
    <cellStyle name="Moneda 8 2 2 7 2 2" xfId="13724" xr:uid="{17843916-3728-488B-90E5-B3FE9AD6CFF5}"/>
    <cellStyle name="Moneda 8 2 2 7 3" xfId="7567" xr:uid="{7E48C33B-2989-483B-9E1A-DEC49AAA442C}"/>
    <cellStyle name="Moneda 8 2 2 7 3 2" xfId="15096" xr:uid="{700C746D-8CC9-4FC3-BA43-164A28D6B208}"/>
    <cellStyle name="Moneda 8 2 2 7 4" xfId="10741" xr:uid="{611A6AAF-BD3C-43C8-A170-538B37CA73A4}"/>
    <cellStyle name="Moneda 8 2 2 8" xfId="3284" xr:uid="{2019AE55-4531-421C-ADFF-2CFADFA2226B}"/>
    <cellStyle name="Moneda 8 2 2 8 2" xfId="6288" xr:uid="{9F6DD044-56F4-4CFE-8E74-DAED955A366B}"/>
    <cellStyle name="Moneda 8 2 2 8 2 2" xfId="13849" xr:uid="{42D8CE41-5496-4A87-916D-99F21AC1529B}"/>
    <cellStyle name="Moneda 8 2 2 8 3" xfId="7692" xr:uid="{74286B29-B062-4304-B404-51988BBF1F73}"/>
    <cellStyle name="Moneda 8 2 2 8 3 2" xfId="15221" xr:uid="{52397472-2834-470D-B662-178A88B29D52}"/>
    <cellStyle name="Moneda 8 2 2 8 4" xfId="10866" xr:uid="{561301E2-5702-4892-A601-9A843D759436}"/>
    <cellStyle name="Moneda 8 2 2 9" xfId="3412" xr:uid="{4DB6848C-31E5-4F20-8ACB-E160E4F13D91}"/>
    <cellStyle name="Moneda 8 2 2 9 2" xfId="6414" xr:uid="{B3888F66-AF29-417D-B30F-3D86BACAD190}"/>
    <cellStyle name="Moneda 8 2 2 9 2 2" xfId="13975" xr:uid="{FDEDBEE5-E336-4362-9B1F-938827A3382C}"/>
    <cellStyle name="Moneda 8 2 2 9 3" xfId="7818" xr:uid="{B39FCB71-3678-411A-AA38-B3686DA74C6D}"/>
    <cellStyle name="Moneda 8 2 2 9 3 2" xfId="15347" xr:uid="{ABEB881B-A2F8-4467-BE4E-447DD5C9A258}"/>
    <cellStyle name="Moneda 8 2 2 9 4" xfId="10992" xr:uid="{27799709-2D03-4321-BE8C-8CDE3CAFB626}"/>
    <cellStyle name="Moneda 8 2 3" xfId="2485" xr:uid="{DB04F2BF-DC79-4EF3-BDA7-44C20E96B43F}"/>
    <cellStyle name="Moneda 8 2 3 2" xfId="6627" xr:uid="{DA67F9B6-E7C7-4C62-9162-DD1405F4F71E}"/>
    <cellStyle name="Moneda 8 2 3 2 2" xfId="8013" xr:uid="{5AB6DC26-DB15-43A5-9028-7C16D2F5233B}"/>
    <cellStyle name="Moneda 8 2 3 2 2 2" xfId="15542" xr:uid="{6A6E4713-E083-4642-890E-C571D176161D}"/>
    <cellStyle name="Moneda 8 2 3 2 3" xfId="14170" xr:uid="{D83DC23C-34B3-4901-A1CF-F290B9857614}"/>
    <cellStyle name="Moneda 8 2 3 3" xfId="5491" xr:uid="{0CC8210C-1C58-4423-9E79-74C3ED8B9388}"/>
    <cellStyle name="Moneda 8 2 3 3 2" xfId="13052" xr:uid="{84D5F3E5-887F-4545-930A-3953BE1D7487}"/>
    <cellStyle name="Moneda 8 2 3 4" xfId="6895" xr:uid="{9D6847B7-A74F-4CD5-9365-23ABA1E2B0F5}"/>
    <cellStyle name="Moneda 8 2 3 4 2" xfId="14424" xr:uid="{EC53C799-2B5E-4770-8AD5-067ED922FF1A}"/>
    <cellStyle name="Moneda 8 2 3 5" xfId="10069" xr:uid="{A9E776CB-2A68-49C2-BE72-54149F693C05}"/>
    <cellStyle name="Moneda 8 2 4" xfId="2606" xr:uid="{E9CA402D-303D-4280-A9AE-9F5BAEC6F43D}"/>
    <cellStyle name="Moneda 8 2 4 2" xfId="5611" xr:uid="{6DD106DD-ABE3-4CE9-A1E9-DA2DBC97A07D}"/>
    <cellStyle name="Moneda 8 2 4 2 2" xfId="13172" xr:uid="{130F44EE-9A72-4728-9450-CD4C0B28287B}"/>
    <cellStyle name="Moneda 8 2 4 3" xfId="7015" xr:uid="{3FF9025F-F80F-47F7-8B91-F1E5294E1DEF}"/>
    <cellStyle name="Moneda 8 2 4 3 2" xfId="14544" xr:uid="{AE9BEFFD-A306-4142-BB22-9DEB19B4CA04}"/>
    <cellStyle name="Moneda 8 2 4 4" xfId="10189" xr:uid="{822308DB-C2CA-44BC-8B6D-9245DB9D997D}"/>
    <cellStyle name="Moneda 8 2 5" xfId="2728" xr:uid="{692317EF-A2AE-4679-AB45-5B0DA0FB1DD9}"/>
    <cellStyle name="Moneda 8 2 5 2" xfId="5733" xr:uid="{BF40DB6D-F04E-4262-AC09-02FBF8D2200E}"/>
    <cellStyle name="Moneda 8 2 5 2 2" xfId="13294" xr:uid="{5EBF5B4D-BDE9-4CAC-B220-52BCA1498970}"/>
    <cellStyle name="Moneda 8 2 5 3" xfId="7137" xr:uid="{B5C3EE9D-5D38-4BE8-9A60-6DD227A7BB14}"/>
    <cellStyle name="Moneda 8 2 5 3 2" xfId="14666" xr:uid="{DCA86E1B-BCAE-48CB-96C4-E2260ED98ED7}"/>
    <cellStyle name="Moneda 8 2 5 4" xfId="10311" xr:uid="{0BC6064A-A4F4-429A-98F8-F44F779E17C0}"/>
    <cellStyle name="Moneda 8 2 6" xfId="2853" xr:uid="{D8501EE1-2FBA-4FC7-A042-F0C361EED98A}"/>
    <cellStyle name="Moneda 8 2 6 2" xfId="5857" xr:uid="{C6EEBAFB-DE82-41C4-80C3-3D3755FC4DF3}"/>
    <cellStyle name="Moneda 8 2 6 2 2" xfId="13418" xr:uid="{4D0704E5-B5A6-4113-B866-2585A0D6E7D5}"/>
    <cellStyle name="Moneda 8 2 6 3" xfId="7261" xr:uid="{8D77023A-9A30-4AE4-A8D2-4F57DDAD5721}"/>
    <cellStyle name="Moneda 8 2 6 3 2" xfId="14790" xr:uid="{C0995C7E-62C2-43A2-AAC5-49F960F301F7}"/>
    <cellStyle name="Moneda 8 2 6 4" xfId="10435" xr:uid="{E769E546-3771-4DE8-8802-3A53260CB422}"/>
    <cellStyle name="Moneda 8 2 7" xfId="2977" xr:uid="{37688CFB-ED21-4696-ADEB-BF253577CB44}"/>
    <cellStyle name="Moneda 8 2 7 2" xfId="5981" xr:uid="{7E54CADC-3BDE-4F56-9CAC-163C11BCA5CA}"/>
    <cellStyle name="Moneda 8 2 7 2 2" xfId="13542" xr:uid="{0CCB2F32-A814-4674-87C1-3755865804A8}"/>
    <cellStyle name="Moneda 8 2 7 3" xfId="7385" xr:uid="{0E7E8E63-F469-420A-B3CD-621C1C3CF0BB}"/>
    <cellStyle name="Moneda 8 2 7 3 2" xfId="14914" xr:uid="{BCACE801-5DCB-4229-A4B4-5122FDAF8FBC}"/>
    <cellStyle name="Moneda 8 2 7 4" xfId="10559" xr:uid="{1ED57C34-DF0B-477D-91D7-B385E46FACC9}"/>
    <cellStyle name="Moneda 8 2 8" xfId="3101" xr:uid="{82E2FB74-4244-4EFF-B995-72A97372F5E6}"/>
    <cellStyle name="Moneda 8 2 8 2" xfId="6105" xr:uid="{EA29B707-A094-47B1-9FAF-DE201DF7B074}"/>
    <cellStyle name="Moneda 8 2 8 2 2" xfId="13666" xr:uid="{FC3DBD11-A903-4F71-81CE-ECFB2936D54F}"/>
    <cellStyle name="Moneda 8 2 8 3" xfId="7509" xr:uid="{7127A262-89E1-4FF1-AED3-3FD6B4838F4E}"/>
    <cellStyle name="Moneda 8 2 8 3 2" xfId="15038" xr:uid="{D0E582AB-FC6A-4020-8F45-DBB15EB6FB4D}"/>
    <cellStyle name="Moneda 8 2 8 4" xfId="10683" xr:uid="{0DE2F75F-BAD3-46DF-AE71-E97A0C6D45DA}"/>
    <cellStyle name="Moneda 8 2 9" xfId="3226" xr:uid="{FB4B4DD3-B994-4EC3-A1F4-1F5690F8A4A0}"/>
    <cellStyle name="Moneda 8 2 9 2" xfId="6230" xr:uid="{ABAFE139-59BE-458F-9650-55768BF283DC}"/>
    <cellStyle name="Moneda 8 2 9 2 2" xfId="13791" xr:uid="{45066232-C17F-46F7-9C1B-F5EA3219CAFA}"/>
    <cellStyle name="Moneda 8 2 9 3" xfId="7634" xr:uid="{8D82E04C-4E1E-411F-98DE-5EFEAE9173A8}"/>
    <cellStyle name="Moneda 8 2 9 3 2" xfId="15163" xr:uid="{FBF14B1D-7CD6-41C2-B73F-3FCB7E059C87}"/>
    <cellStyle name="Moneda 8 2 9 4" xfId="10808" xr:uid="{5F74998F-D314-44D3-864D-3ED463B7C6E4}"/>
    <cellStyle name="Moneda 8 3" xfId="1437" xr:uid="{47971164-B3AE-445F-9C6D-77E9A9B69DE9}"/>
    <cellStyle name="Moneda 8 3 10" xfId="2390" xr:uid="{A8D8C269-6162-42FA-AD18-92E20F7CFC8C}"/>
    <cellStyle name="Moneda 8 3 10 2" xfId="6521" xr:uid="{031C1D46-3E53-4275-993B-5317CC4B11B2}"/>
    <cellStyle name="Moneda 8 3 10 2 2" xfId="14077" xr:uid="{1EA4EB0D-2A28-4DCB-8F04-5FFB12B4CB68}"/>
    <cellStyle name="Moneda 8 3 10 3" xfId="7920" xr:uid="{AB58BFD7-2C21-45DD-9312-BF52144EFFCF}"/>
    <cellStyle name="Moneda 8 3 10 3 2" xfId="15449" xr:uid="{8965C0C2-4880-447B-9A01-09D4BCBC3143}"/>
    <cellStyle name="Moneda 8 3 10 4" xfId="9978" xr:uid="{F80D83F4-4CBE-4F28-B123-C593A0223B90}"/>
    <cellStyle name="Moneda 8 3 11" xfId="4397" xr:uid="{74E219B0-9A25-4327-8AD4-336C2F1D732B}"/>
    <cellStyle name="Moneda 8 3 11 2" xfId="11965" xr:uid="{8AB007F0-97D5-466B-8E8E-04E94AD6EF4C}"/>
    <cellStyle name="Moneda 8 3 12" xfId="5400" xr:uid="{229D4584-81DA-4A08-B452-762273A6D170}"/>
    <cellStyle name="Moneda 8 3 12 2" xfId="12961" xr:uid="{377C00FF-EEAA-4369-ACF9-3EDE66D5F5BD}"/>
    <cellStyle name="Moneda 8 3 13" xfId="6804" xr:uid="{698EEDAE-9AF6-40B1-9F11-3FD2ECA03E05}"/>
    <cellStyle name="Moneda 8 3 13 2" xfId="14333" xr:uid="{A1AC17B8-3113-4882-95CA-A404B8CFAF92}"/>
    <cellStyle name="Moneda 8 3 14" xfId="9045" xr:uid="{2AB788D4-1AF3-45C6-BC5A-AD7DC10C2E43}"/>
    <cellStyle name="Moneda 8 3 2" xfId="2514" xr:uid="{FC70A158-C333-4078-9AF1-54FF16BED4BE}"/>
    <cellStyle name="Moneda 8 3 2 2" xfId="6656" xr:uid="{CE021262-2E84-4DA3-9A7E-7FC38C79B7ED}"/>
    <cellStyle name="Moneda 8 3 2 2 2" xfId="8042" xr:uid="{B5658EF7-BCEB-499C-A782-E8A3E2E85C07}"/>
    <cellStyle name="Moneda 8 3 2 2 2 2" xfId="15571" xr:uid="{C7D70BA5-D2A6-403A-8142-8B095CA939D2}"/>
    <cellStyle name="Moneda 8 3 2 2 3" xfId="14199" xr:uid="{09FBF5CF-F652-400E-860E-5ED79E117AA6}"/>
    <cellStyle name="Moneda 8 3 2 3" xfId="5520" xr:uid="{2169402C-FA32-403B-B34F-CC4B84C1A888}"/>
    <cellStyle name="Moneda 8 3 2 3 2" xfId="13081" xr:uid="{6BA63EF5-0BAA-4FF0-9BE8-060E72796690}"/>
    <cellStyle name="Moneda 8 3 2 4" xfId="6924" xr:uid="{81F97D18-6C9B-4108-BDC1-33828E7C7A3E}"/>
    <cellStyle name="Moneda 8 3 2 4 2" xfId="14453" xr:uid="{715FB696-3891-40E6-A23D-D6003143F81F}"/>
    <cellStyle name="Moneda 8 3 2 5" xfId="10098" xr:uid="{38EEF333-7909-4FED-A770-1A6D69BD75B7}"/>
    <cellStyle name="Moneda 8 3 3" xfId="2635" xr:uid="{0908DF36-CA5C-4986-B49F-4B6940D64275}"/>
    <cellStyle name="Moneda 8 3 3 2" xfId="5640" xr:uid="{7A05C822-F7AE-4134-817A-D3723274DF7F}"/>
    <cellStyle name="Moneda 8 3 3 2 2" xfId="13201" xr:uid="{5F1BFB91-D7BA-429F-A61E-6F5086F768B9}"/>
    <cellStyle name="Moneda 8 3 3 3" xfId="7044" xr:uid="{7DF40060-8582-4BF9-B8B9-DF51EBC8404B}"/>
    <cellStyle name="Moneda 8 3 3 3 2" xfId="14573" xr:uid="{2CD8BA3C-A8F0-45A5-9961-37CFF8984260}"/>
    <cellStyle name="Moneda 8 3 3 4" xfId="10218" xr:uid="{9F6157A3-A787-42C6-B309-8E78AB8469DC}"/>
    <cellStyle name="Moneda 8 3 4" xfId="2757" xr:uid="{D68BBCEE-3F47-4890-9D59-06F7C69CC1D8}"/>
    <cellStyle name="Moneda 8 3 4 2" xfId="5762" xr:uid="{AA69FD29-6903-4A64-A98A-D5B189B9B734}"/>
    <cellStyle name="Moneda 8 3 4 2 2" xfId="13323" xr:uid="{7DA621F1-338F-4F3F-AD0C-1FBDF55DAE8D}"/>
    <cellStyle name="Moneda 8 3 4 3" xfId="7166" xr:uid="{68B42C74-D721-4519-8561-3F5D29F2ABFA}"/>
    <cellStyle name="Moneda 8 3 4 3 2" xfId="14695" xr:uid="{494F01C5-C719-49DD-9F70-7C809F67A849}"/>
    <cellStyle name="Moneda 8 3 4 4" xfId="10340" xr:uid="{E73C00D9-FE40-42BD-BFBF-CAF2E52C4AB2}"/>
    <cellStyle name="Moneda 8 3 5" xfId="2882" xr:uid="{FC4196E0-94E2-45D7-BB5C-551D0C7E2F2A}"/>
    <cellStyle name="Moneda 8 3 5 2" xfId="5886" xr:uid="{CA9964E6-A3D5-4355-9878-E230981CC6E4}"/>
    <cellStyle name="Moneda 8 3 5 2 2" xfId="13447" xr:uid="{B435B729-876A-4DFE-AD7B-51823DEC8EC8}"/>
    <cellStyle name="Moneda 8 3 5 3" xfId="7290" xr:uid="{309A5930-22FB-49C0-A179-5CB5873F00EA}"/>
    <cellStyle name="Moneda 8 3 5 3 2" xfId="14819" xr:uid="{945CF2AB-8E91-4737-8C60-4C1A6403610F}"/>
    <cellStyle name="Moneda 8 3 5 4" xfId="10464" xr:uid="{B7546089-3EB7-40CF-A2E8-8121BFF0374A}"/>
    <cellStyle name="Moneda 8 3 6" xfId="3006" xr:uid="{C41BE840-F51B-49AA-8DB4-9959ED360409}"/>
    <cellStyle name="Moneda 8 3 6 2" xfId="6010" xr:uid="{DA9D20F2-1256-421B-B8E4-4DD579E991CC}"/>
    <cellStyle name="Moneda 8 3 6 2 2" xfId="13571" xr:uid="{11AD545B-F5D0-4983-9591-6E82D21DF146}"/>
    <cellStyle name="Moneda 8 3 6 3" xfId="7414" xr:uid="{0068114A-F269-4D2F-8FBE-B041C95A1AE7}"/>
    <cellStyle name="Moneda 8 3 6 3 2" xfId="14943" xr:uid="{26DE4EDC-8BE3-4BDC-938C-46D9FC97AE74}"/>
    <cellStyle name="Moneda 8 3 6 4" xfId="10588" xr:uid="{0D006DC8-79E0-46C3-9A3B-7ED8D059EA6E}"/>
    <cellStyle name="Moneda 8 3 7" xfId="3130" xr:uid="{490B1DEC-151B-46D0-B7B3-21C19535AE42}"/>
    <cellStyle name="Moneda 8 3 7 2" xfId="6134" xr:uid="{051776EF-0058-436C-8E0D-DA3AAD09C430}"/>
    <cellStyle name="Moneda 8 3 7 2 2" xfId="13695" xr:uid="{DFDDBA93-1DC3-4AE2-A912-3AED8F5399D3}"/>
    <cellStyle name="Moneda 8 3 7 3" xfId="7538" xr:uid="{C260E7DB-B9EB-4BAA-8FAF-13748F34C1FD}"/>
    <cellStyle name="Moneda 8 3 7 3 2" xfId="15067" xr:uid="{6C328A07-A789-45AB-A64D-EEF58C520D9A}"/>
    <cellStyle name="Moneda 8 3 7 4" xfId="10712" xr:uid="{93D22795-7A5C-4D28-B787-931124A4E132}"/>
    <cellStyle name="Moneda 8 3 8" xfId="3255" xr:uid="{432BE695-DAD7-43C5-9FF6-04CC7C90D76D}"/>
    <cellStyle name="Moneda 8 3 8 2" xfId="6259" xr:uid="{BB2FA7B8-909B-4B5B-BF53-8736DDD37C44}"/>
    <cellStyle name="Moneda 8 3 8 2 2" xfId="13820" xr:uid="{024A5C79-5D86-460A-B112-CB4121A22123}"/>
    <cellStyle name="Moneda 8 3 8 3" xfId="7663" xr:uid="{6422D657-5EA5-4D0C-9BA6-C45BDD955729}"/>
    <cellStyle name="Moneda 8 3 8 3 2" xfId="15192" xr:uid="{08A73BF7-151B-46D6-BD86-ED2F67E52345}"/>
    <cellStyle name="Moneda 8 3 8 4" xfId="10837" xr:uid="{832B8FEC-3D60-4811-98D4-BB39ADD0A2EB}"/>
    <cellStyle name="Moneda 8 3 9" xfId="3383" xr:uid="{B6C5E15E-6257-4F98-B945-893F7170D06F}"/>
    <cellStyle name="Moneda 8 3 9 2" xfId="6385" xr:uid="{CA37AB8C-9EBF-4EB4-9486-A0E78D58EAD1}"/>
    <cellStyle name="Moneda 8 3 9 2 2" xfId="13946" xr:uid="{8ADF6F15-FF01-48DF-BCB9-B979AE16E997}"/>
    <cellStyle name="Moneda 8 3 9 3" xfId="7789" xr:uid="{EEAEF354-1EC0-4D19-96CA-02E62CB53343}"/>
    <cellStyle name="Moneda 8 3 9 3 2" xfId="15318" xr:uid="{86100481-70F0-4CE2-807A-C2DA978A1C19}"/>
    <cellStyle name="Moneda 8 3 9 4" xfId="10963" xr:uid="{45EB2793-210E-4605-964F-67DFE7BAAB87}"/>
    <cellStyle name="Moneda 8 4" xfId="1816" xr:uid="{BE23F765-FCB0-4D30-838C-215B9098A115}"/>
    <cellStyle name="Moneda 8 4 2" xfId="2455" xr:uid="{CF32B0CD-BA70-4141-A7D5-7853F33E371E}"/>
    <cellStyle name="Moneda 8 4 2 2" xfId="6588" xr:uid="{7B8D4EC9-5FB2-4553-B5C3-FC48AE6E97BE}"/>
    <cellStyle name="Moneda 8 4 2 2 2" xfId="14141" xr:uid="{D31A6D61-C01C-4718-ABFD-961798F93E0D}"/>
    <cellStyle name="Moneda 8 4 2 3" xfId="7984" xr:uid="{AB3B8491-A6C5-45CB-81A7-6C61D7382B58}"/>
    <cellStyle name="Moneda 8 4 2 3 2" xfId="15513" xr:uid="{A506CE07-89D3-44E0-A2CC-AD7C224CB259}"/>
    <cellStyle name="Moneda 8 4 2 4" xfId="10039" xr:uid="{6A18B80A-0238-4FCE-9DFD-0B0DA414F0E0}"/>
    <cellStyle name="Moneda 8 4 3" xfId="4775" xr:uid="{90A7A835-DE32-4508-92A0-D8207EF6A61C}"/>
    <cellStyle name="Moneda 8 4 3 2" xfId="12343" xr:uid="{66F44765-C3F5-4C42-BD9D-D3459DB61AFC}"/>
    <cellStyle name="Moneda 8 4 4" xfId="5461" xr:uid="{9E04956A-50C8-4BC6-A9A2-43328441F411}"/>
    <cellStyle name="Moneda 8 4 4 2" xfId="13022" xr:uid="{B2ED8C1F-945E-479C-8681-9C93AEDD28FC}"/>
    <cellStyle name="Moneda 8 4 5" xfId="6865" xr:uid="{4DE40B58-31E2-4C1F-AD91-7311F14779B1}"/>
    <cellStyle name="Moneda 8 4 5 2" xfId="14394" xr:uid="{51BD61A3-1AE4-48CF-85D6-3CFAFCF6859C}"/>
    <cellStyle name="Moneda 8 4 6" xfId="9423" xr:uid="{D2A78D15-6750-4066-AB6F-6BA5B9C33232}"/>
    <cellStyle name="Moneda 8 5" xfId="2577" xr:uid="{BC0669A5-A0E2-4703-8C19-35303F4213BE}"/>
    <cellStyle name="Moneda 8 5 2" xfId="5582" xr:uid="{BB1A4722-AE1B-4297-897A-4FB32F54C8BD}"/>
    <cellStyle name="Moneda 8 5 2 2" xfId="13143" xr:uid="{D8994093-3597-4BC4-96BC-43F98BC3785A}"/>
    <cellStyle name="Moneda 8 5 3" xfId="6986" xr:uid="{49779562-614A-4EE9-87D7-432995775D2B}"/>
    <cellStyle name="Moneda 8 5 3 2" xfId="14515" xr:uid="{06A9E14D-9BA2-4B25-A2EF-0A1442EEE5A3}"/>
    <cellStyle name="Moneda 8 5 4" xfId="10160" xr:uid="{984BCF90-F960-4EA7-841D-C334A7FDEC23}"/>
    <cellStyle name="Moneda 8 6" xfId="2699" xr:uid="{205BDCCD-68F9-4C7F-A636-905F555FE778}"/>
    <cellStyle name="Moneda 8 6 2" xfId="5704" xr:uid="{0E1D5D58-871B-4795-9A09-64F8C223F48F}"/>
    <cellStyle name="Moneda 8 6 2 2" xfId="13265" xr:uid="{4EEF5A41-F71B-4DDA-8C65-8048AA46F236}"/>
    <cellStyle name="Moneda 8 6 3" xfId="7108" xr:uid="{6C3A9B22-0B9D-489F-A26D-1CC95A2282A9}"/>
    <cellStyle name="Moneda 8 6 3 2" xfId="14637" xr:uid="{ECD40419-D1DE-4B23-936D-DC343786A83E}"/>
    <cellStyle name="Moneda 8 6 4" xfId="10282" xr:uid="{9C6A5655-C79D-43A9-91C3-6892B12D4829}"/>
    <cellStyle name="Moneda 8 7" xfId="2824" xr:uid="{C96CE319-8F5B-4BB9-ADC5-73207861EF4B}"/>
    <cellStyle name="Moneda 8 7 2" xfId="5828" xr:uid="{EA8BD098-27A7-4F64-B54E-81AB327520CD}"/>
    <cellStyle name="Moneda 8 7 2 2" xfId="13389" xr:uid="{BA2E4954-2399-450C-ACCB-8BB0525FDE23}"/>
    <cellStyle name="Moneda 8 7 3" xfId="7232" xr:uid="{42EA3FFE-7C5C-4AD4-8912-DAF3908FBC1B}"/>
    <cellStyle name="Moneda 8 7 3 2" xfId="14761" xr:uid="{710BDA0D-A647-4792-BD5D-E7226A94CED4}"/>
    <cellStyle name="Moneda 8 7 4" xfId="10406" xr:uid="{17BA5E68-26F9-4E7A-9329-1F8E577602C9}"/>
    <cellStyle name="Moneda 8 8" xfId="2948" xr:uid="{3F6FDAEE-644C-4C9D-ADE5-BD2B76EF991F}"/>
    <cellStyle name="Moneda 8 8 2" xfId="5952" xr:uid="{48E0031E-6057-499D-8C8D-983CAA0C006B}"/>
    <cellStyle name="Moneda 8 8 2 2" xfId="13513" xr:uid="{C449DC84-1B68-4C8E-96DE-DA66E80F3B3A}"/>
    <cellStyle name="Moneda 8 8 3" xfId="7356" xr:uid="{306B0C6C-EB19-46D5-A843-958EF90DD98E}"/>
    <cellStyle name="Moneda 8 8 3 2" xfId="14885" xr:uid="{39B36E7B-73DB-4E73-96D8-51D67628A7AF}"/>
    <cellStyle name="Moneda 8 8 4" xfId="10530" xr:uid="{5557EB9E-38FF-409B-ACB6-604B2F0816D0}"/>
    <cellStyle name="Moneda 8 9" xfId="3072" xr:uid="{885DF0D1-16FF-4591-B6BE-0D39C8AE4149}"/>
    <cellStyle name="Moneda 8 9 2" xfId="6076" xr:uid="{1A0B23E6-1022-4BC0-AA71-75921BDC4D30}"/>
    <cellStyle name="Moneda 8 9 2 2" xfId="13637" xr:uid="{7F751FF9-C5D0-43FF-BA03-F7C52BAD9344}"/>
    <cellStyle name="Moneda 8 9 3" xfId="7480" xr:uid="{BCC82FDD-EFB5-4852-A71C-75FC10F6DB1B}"/>
    <cellStyle name="Moneda 8 9 3 2" xfId="15009" xr:uid="{BACC8E20-2ACD-4603-A66F-1480E9557FD9}"/>
    <cellStyle name="Moneda 8 9 4" xfId="10654" xr:uid="{F8C5141A-F148-43D3-96BE-246C1F84A96A}"/>
    <cellStyle name="Moneda 80" xfId="424" xr:uid="{BD25B9A3-46B5-4BF0-AE30-297BF721D762}"/>
    <cellStyle name="Moneda 80 2" xfId="1217" xr:uid="{796A3B4B-0E76-4E0F-9091-C12FB10419B3}"/>
    <cellStyle name="Moneda 80 2 2" xfId="4177" xr:uid="{5D229C8B-B5AD-4F87-A8B0-5215D3EA2A62}"/>
    <cellStyle name="Moneda 80 2 2 2" xfId="11745" xr:uid="{D89ED2D1-2C9A-4B9D-AD2A-BD342A5DB1B1}"/>
    <cellStyle name="Moneda 80 2 3" xfId="8825" xr:uid="{1000DBA0-AD9C-4071-BF91-2297F8A85171}"/>
    <cellStyle name="Moneda 80 3" xfId="1581" xr:uid="{EAFE7625-193D-4E68-891B-0583C220DB1A}"/>
    <cellStyle name="Moneda 80 3 2" xfId="4541" xr:uid="{4C73AF13-3E1C-48F9-82DA-7987BB6100DF}"/>
    <cellStyle name="Moneda 80 3 2 2" xfId="12109" xr:uid="{6E537171-34B2-4D7F-8964-524C2F41613B}"/>
    <cellStyle name="Moneda 80 3 3" xfId="9189" xr:uid="{38242F9D-F1C7-4CB5-A125-DF1F40E7F702}"/>
    <cellStyle name="Moneda 80 4" xfId="1960" xr:uid="{65606BA2-5DCA-401C-91BD-542D5B470E0B}"/>
    <cellStyle name="Moneda 80 4 2" xfId="4919" xr:uid="{1B6832F1-E9CF-422E-B037-9E8BE0866C2C}"/>
    <cellStyle name="Moneda 80 4 2 2" xfId="12487" xr:uid="{5B31A1E5-06C1-4C4A-8BD5-643A0036AA92}"/>
    <cellStyle name="Moneda 80 4 3" xfId="9567" xr:uid="{CBEA82C8-9FEA-40D7-A141-F96D57694B46}"/>
    <cellStyle name="Moneda 80 5" xfId="3646" xr:uid="{A61E6F81-B546-4F80-8926-7C535ABF4F06}"/>
    <cellStyle name="Moneda 80 5 2" xfId="11214" xr:uid="{343CE630-2FEA-4277-A091-D188E2B53A1D}"/>
    <cellStyle name="Moneda 80 6" xfId="8294" xr:uid="{9A1B86E9-E43C-4C36-9115-CD920B0DDEA8}"/>
    <cellStyle name="Moneda 81" xfId="427" xr:uid="{B7A6FA1E-8B0B-4508-A016-77D87FD9D36A}"/>
    <cellStyle name="Moneda 81 2" xfId="1219" xr:uid="{F5114D53-E589-47EF-8B08-159C32492185}"/>
    <cellStyle name="Moneda 81 2 2" xfId="4179" xr:uid="{A765A076-BA34-4E37-9889-D2DE22F8A920}"/>
    <cellStyle name="Moneda 81 2 2 2" xfId="11747" xr:uid="{04ADC91C-0350-44EF-8B6F-7D336074AE67}"/>
    <cellStyle name="Moneda 81 2 3" xfId="8827" xr:uid="{B59BE4C6-E6A7-4689-B313-740A7C1A1181}"/>
    <cellStyle name="Moneda 81 3" xfId="1583" xr:uid="{F1B63665-63CE-4773-92A7-C3154ECCC272}"/>
    <cellStyle name="Moneda 81 3 2" xfId="4543" xr:uid="{7C47A89E-5046-46C2-89B5-0A7CC8DFF4C0}"/>
    <cellStyle name="Moneda 81 3 2 2" xfId="12111" xr:uid="{FF90F482-67FB-4BEF-9D49-BE3F539B6511}"/>
    <cellStyle name="Moneda 81 3 3" xfId="9191" xr:uid="{54223923-416A-45B0-8BE9-5FC87533B6CD}"/>
    <cellStyle name="Moneda 81 4" xfId="1962" xr:uid="{8B5F084C-0EF1-42BE-A9ED-C0F88C0E912A}"/>
    <cellStyle name="Moneda 81 4 2" xfId="4921" xr:uid="{19164907-E676-4661-A960-D33249D7CBE9}"/>
    <cellStyle name="Moneda 81 4 2 2" xfId="12489" xr:uid="{5B0A1735-CA2C-4D24-8AC9-1CB1B4029A11}"/>
    <cellStyle name="Moneda 81 4 3" xfId="9569" xr:uid="{1D73EB13-6E0C-4F71-94A5-9448AC9379BE}"/>
    <cellStyle name="Moneda 81 5" xfId="3648" xr:uid="{D88A9F0F-583C-4E9C-8DE2-F62EA8B46AA6}"/>
    <cellStyle name="Moneda 81 5 2" xfId="11216" xr:uid="{82016E57-D85A-44C4-936C-721B3F8CD8DC}"/>
    <cellStyle name="Moneda 81 6" xfId="8296" xr:uid="{DD8AA39C-32B6-48C8-A5AB-DFDCC84282CD}"/>
    <cellStyle name="Moneda 82" xfId="430" xr:uid="{A756248B-45C0-4D3A-BEEE-26D28C4B9CC1}"/>
    <cellStyle name="Moneda 82 2" xfId="1221" xr:uid="{924A3199-6E99-4269-B6AE-FC3C041253A5}"/>
    <cellStyle name="Moneda 82 2 2" xfId="4181" xr:uid="{890445A0-972D-47CB-BF72-DE780FD65503}"/>
    <cellStyle name="Moneda 82 2 2 2" xfId="11749" xr:uid="{72E4AC4F-E4C5-405D-ABB9-69DF99BDB7E2}"/>
    <cellStyle name="Moneda 82 2 3" xfId="8829" xr:uid="{89089D1B-C452-497F-80B9-ACD6F967CED9}"/>
    <cellStyle name="Moneda 82 3" xfId="1585" xr:uid="{E136F75B-C12D-4AC4-804B-F8D957495785}"/>
    <cellStyle name="Moneda 82 3 2" xfId="4545" xr:uid="{BAF497F4-12DA-45B4-929C-3529B2FE359A}"/>
    <cellStyle name="Moneda 82 3 2 2" xfId="12113" xr:uid="{9D53F750-5E20-4470-AE06-EBA99D3C8D56}"/>
    <cellStyle name="Moneda 82 3 3" xfId="9193" xr:uid="{1E3D40E1-9EF8-499F-AF5D-E23952A18CBB}"/>
    <cellStyle name="Moneda 82 4" xfId="1964" xr:uid="{4D3360A8-0993-424F-9469-03A7F6987B51}"/>
    <cellStyle name="Moneda 82 4 2" xfId="4923" xr:uid="{5FD4C618-653B-4E38-B27B-A2437973D307}"/>
    <cellStyle name="Moneda 82 4 2 2" xfId="12491" xr:uid="{17FAC8C0-8399-41CF-99C0-EAEDB9676421}"/>
    <cellStyle name="Moneda 82 4 3" xfId="9571" xr:uid="{25590339-77F5-47F1-A251-809F0F0C8052}"/>
    <cellStyle name="Moneda 82 5" xfId="3650" xr:uid="{7E7E802D-4C41-402E-8FF2-B5862E349BB5}"/>
    <cellStyle name="Moneda 82 5 2" xfId="11218" xr:uid="{95E2B190-F124-404D-99B3-ACF3A10DFE7D}"/>
    <cellStyle name="Moneda 82 6" xfId="8298" xr:uid="{D4E8FAFC-076B-436E-A58B-2C9063482A00}"/>
    <cellStyle name="Moneda 83" xfId="433" xr:uid="{7D1230A7-EFE7-4DF3-AD55-18D26D4DADCB}"/>
    <cellStyle name="Moneda 83 2" xfId="1223" xr:uid="{8ADE24CC-46FD-481D-A280-F8E4D5B1EEF0}"/>
    <cellStyle name="Moneda 83 2 2" xfId="4183" xr:uid="{5B0BEB58-1FAC-4352-B7BF-CC8AEA9F9204}"/>
    <cellStyle name="Moneda 83 2 2 2" xfId="11751" xr:uid="{1D2395B7-00A1-4292-B54A-FC666E7124C2}"/>
    <cellStyle name="Moneda 83 2 3" xfId="8831" xr:uid="{3EAA4632-7C0A-4DEF-A204-03640DED5DF1}"/>
    <cellStyle name="Moneda 83 3" xfId="1587" xr:uid="{27077CDC-209A-4B3E-8F0D-244F73D250C7}"/>
    <cellStyle name="Moneda 83 3 2" xfId="4547" xr:uid="{FA90023A-4D55-4B10-95BC-DDDE80642C20}"/>
    <cellStyle name="Moneda 83 3 2 2" xfId="12115" xr:uid="{A41CC4DD-2619-4DD1-832A-0E660CA98CA5}"/>
    <cellStyle name="Moneda 83 3 3" xfId="9195" xr:uid="{316AF45B-5037-4B9C-84FA-1C093198F935}"/>
    <cellStyle name="Moneda 83 4" xfId="1966" xr:uid="{78481F14-4A45-43E2-AFE4-85E4A4E17EB8}"/>
    <cellStyle name="Moneda 83 4 2" xfId="4925" xr:uid="{BAE28960-4407-4599-9231-37D211051A76}"/>
    <cellStyle name="Moneda 83 4 2 2" xfId="12493" xr:uid="{E27FF468-5563-4923-8440-275DA8943395}"/>
    <cellStyle name="Moneda 83 4 3" xfId="9573" xr:uid="{7A156943-D5D3-4BEE-8D83-0B91B72E6317}"/>
    <cellStyle name="Moneda 83 5" xfId="3652" xr:uid="{DA16B624-E5C1-4D83-96FA-DDA6E695231B}"/>
    <cellStyle name="Moneda 83 5 2" xfId="11220" xr:uid="{56AEAC79-3144-4F3C-8F27-D6B5071C30FC}"/>
    <cellStyle name="Moneda 83 6" xfId="8300" xr:uid="{DE06ED8F-44E3-4996-A628-490507754D6D}"/>
    <cellStyle name="Moneda 84" xfId="436" xr:uid="{AC7526E3-C5FD-4F01-B05A-290A9DA13FED}"/>
    <cellStyle name="Moneda 84 2" xfId="1225" xr:uid="{41E4A16F-9858-4BA0-833D-2DEB5DB8798B}"/>
    <cellStyle name="Moneda 84 2 2" xfId="4185" xr:uid="{054EE4D8-EFC2-4165-A61F-2FF56EFD875B}"/>
    <cellStyle name="Moneda 84 2 2 2" xfId="11753" xr:uid="{E31A1E59-C3AA-4C11-8814-F7FD9B0B96EC}"/>
    <cellStyle name="Moneda 84 2 3" xfId="8833" xr:uid="{0504B31F-A45B-4846-AEF1-0A059ABFFD44}"/>
    <cellStyle name="Moneda 84 3" xfId="1589" xr:uid="{FB6C653D-5577-4D25-9C1D-C580B2F2FB82}"/>
    <cellStyle name="Moneda 84 3 2" xfId="4549" xr:uid="{19ED5457-4EAE-4269-9962-524E1DEA3D5D}"/>
    <cellStyle name="Moneda 84 3 2 2" xfId="12117" xr:uid="{3D3072F0-4138-4059-A0A6-5F2F1CAEE172}"/>
    <cellStyle name="Moneda 84 3 3" xfId="9197" xr:uid="{73498C59-4CBA-4501-90E0-5930EBA74B50}"/>
    <cellStyle name="Moneda 84 4" xfId="1968" xr:uid="{CD3CFE96-154E-408E-BEB7-9F8B10D09828}"/>
    <cellStyle name="Moneda 84 4 2" xfId="4927" xr:uid="{77BFD7D2-7BA6-42CB-84BB-64497437B8B4}"/>
    <cellStyle name="Moneda 84 4 2 2" xfId="12495" xr:uid="{3ED3F124-5C02-42A6-B8AE-6341EA5D9057}"/>
    <cellStyle name="Moneda 84 4 3" xfId="9575" xr:uid="{800C7A24-201B-4E87-8489-375C10D7C512}"/>
    <cellStyle name="Moneda 84 5" xfId="3654" xr:uid="{CAFE7886-D87F-45B2-8E25-89CFC142080C}"/>
    <cellStyle name="Moneda 84 5 2" xfId="11222" xr:uid="{A9363924-EBE9-4118-9B91-3A28E559532B}"/>
    <cellStyle name="Moneda 84 6" xfId="8302" xr:uid="{B49E4F22-7995-4AA9-AC55-6128F8C488A9}"/>
    <cellStyle name="Moneda 85" xfId="439" xr:uid="{AA3D0C4E-3F09-45A3-BFBD-8183039123AA}"/>
    <cellStyle name="Moneda 85 2" xfId="1227" xr:uid="{EBA44956-916D-4725-89CA-6A6C25885867}"/>
    <cellStyle name="Moneda 85 2 2" xfId="4187" xr:uid="{4934BBA2-2E28-486A-914B-E740CCD46A95}"/>
    <cellStyle name="Moneda 85 2 2 2" xfId="11755" xr:uid="{31EE42DB-A0BA-476F-95D3-753EA6BC49BE}"/>
    <cellStyle name="Moneda 85 2 3" xfId="8835" xr:uid="{E7017FF1-2349-4333-A2F8-784ECA7FF00A}"/>
    <cellStyle name="Moneda 85 3" xfId="1591" xr:uid="{8AC34EFD-7132-46DA-A81E-747E06308FF9}"/>
    <cellStyle name="Moneda 85 3 2" xfId="4551" xr:uid="{504D38AA-90B3-4F6A-B384-17EAC4D037D7}"/>
    <cellStyle name="Moneda 85 3 2 2" xfId="12119" xr:uid="{53D7EED4-7313-4D9C-BDE4-76784F001512}"/>
    <cellStyle name="Moneda 85 3 3" xfId="9199" xr:uid="{3E44E389-1077-431A-88E1-88EDCB019210}"/>
    <cellStyle name="Moneda 85 4" xfId="1970" xr:uid="{D083C197-E863-47DC-B4EB-0C6C093AA3B3}"/>
    <cellStyle name="Moneda 85 4 2" xfId="4929" xr:uid="{956644F7-A4AE-4FC4-B0A6-24F7B26F1546}"/>
    <cellStyle name="Moneda 85 4 2 2" xfId="12497" xr:uid="{9CFF5886-1F8D-4918-9171-22DEBB4950DD}"/>
    <cellStyle name="Moneda 85 4 3" xfId="9577" xr:uid="{856241B0-AA94-4D05-90A1-1C76E52D04DB}"/>
    <cellStyle name="Moneda 85 5" xfId="3656" xr:uid="{CB1D56F2-6C5B-46FA-B0BC-574ABA388F3C}"/>
    <cellStyle name="Moneda 85 5 2" xfId="11224" xr:uid="{538BE6F7-F669-4235-9448-E3CC1F358F92}"/>
    <cellStyle name="Moneda 85 6" xfId="8304" xr:uid="{A1775B1C-D001-4B6C-8D07-7DCB3B944731}"/>
    <cellStyle name="Moneda 86" xfId="442" xr:uid="{6FADE7AA-BA68-498B-BEA7-3681F4F1BBCF}"/>
    <cellStyle name="Moneda 86 2" xfId="1229" xr:uid="{6A8DDDA7-393D-4501-A669-D89BD6C19BF2}"/>
    <cellStyle name="Moneda 86 2 2" xfId="4189" xr:uid="{A22F78DD-34AC-4CD9-A258-F813F06C37CA}"/>
    <cellStyle name="Moneda 86 2 2 2" xfId="11757" xr:uid="{DF8088B7-4F14-4657-A1DD-411851B76220}"/>
    <cellStyle name="Moneda 86 2 3" xfId="8837" xr:uid="{D398B655-1C3D-4B6D-82F1-8F7671E8E2CC}"/>
    <cellStyle name="Moneda 86 3" xfId="1593" xr:uid="{69496951-4D94-454D-8668-30F39DC9F314}"/>
    <cellStyle name="Moneda 86 3 2" xfId="4553" xr:uid="{6C90463A-2F88-430C-B618-4BB4FCBE298D}"/>
    <cellStyle name="Moneda 86 3 2 2" xfId="12121" xr:uid="{D67FDD1A-687D-4EAC-BBBD-0C0FD8E9228D}"/>
    <cellStyle name="Moneda 86 3 3" xfId="9201" xr:uid="{F4577596-F763-483A-9613-1D8584DC0557}"/>
    <cellStyle name="Moneda 86 4" xfId="1972" xr:uid="{690342FB-2CAC-4D33-8DA4-F6ECA078541E}"/>
    <cellStyle name="Moneda 86 4 2" xfId="4931" xr:uid="{64B6EE1C-FB92-4295-9738-73D178709F24}"/>
    <cellStyle name="Moneda 86 4 2 2" xfId="12499" xr:uid="{6F6D4D2F-9171-4F4B-832B-90C3A0853950}"/>
    <cellStyle name="Moneda 86 4 3" xfId="9579" xr:uid="{5E9CCA2D-C5A4-4EE1-9034-E0C83CFCECAB}"/>
    <cellStyle name="Moneda 86 5" xfId="3658" xr:uid="{4FB8DC47-88B9-4BC7-B753-47168E1ABD94}"/>
    <cellStyle name="Moneda 86 5 2" xfId="11226" xr:uid="{010275D1-DED0-4304-99B9-C19C26D35A28}"/>
    <cellStyle name="Moneda 86 6" xfId="8306" xr:uid="{F1316DC9-F2F2-4DE9-9A91-169BCE3BB9D9}"/>
    <cellStyle name="Moneda 87" xfId="445" xr:uid="{4860322D-95E4-4C2E-9820-0417E9478B9E}"/>
    <cellStyle name="Moneda 87 2" xfId="1231" xr:uid="{44E294DB-F163-4226-B2C3-F8A4D71091C8}"/>
    <cellStyle name="Moneda 87 2 2" xfId="4191" xr:uid="{60737746-7921-42B7-AEBC-AF96BA2C5438}"/>
    <cellStyle name="Moneda 87 2 2 2" xfId="11759" xr:uid="{0533E1C2-3A0A-4CBF-A5D0-07B3CFA86963}"/>
    <cellStyle name="Moneda 87 2 3" xfId="8839" xr:uid="{95546969-A41A-4F3C-BBC4-0EADB67EE980}"/>
    <cellStyle name="Moneda 87 3" xfId="1595" xr:uid="{D3F09919-0607-4711-BD3E-7933C2B30561}"/>
    <cellStyle name="Moneda 87 3 2" xfId="4555" xr:uid="{09C6CFB4-F4C3-4F4C-97C5-34C83B3613A5}"/>
    <cellStyle name="Moneda 87 3 2 2" xfId="12123" xr:uid="{97B9C9B6-AE22-43EC-B15E-64C711224D1B}"/>
    <cellStyle name="Moneda 87 3 3" xfId="9203" xr:uid="{D7522261-32B6-4114-8E49-3AC07FFF9C7E}"/>
    <cellStyle name="Moneda 87 4" xfId="1974" xr:uid="{22EA00AE-37B6-4B89-A484-194BD94F6D6E}"/>
    <cellStyle name="Moneda 87 4 2" xfId="4933" xr:uid="{5F7E9F6A-8F05-40F9-B302-2D9B4FD2F2CF}"/>
    <cellStyle name="Moneda 87 4 2 2" xfId="12501" xr:uid="{4A2A6B62-2385-4F9A-8B01-341FAD4B2D11}"/>
    <cellStyle name="Moneda 87 4 3" xfId="9581" xr:uid="{83EB37E1-252D-44BC-861A-2657C4583326}"/>
    <cellStyle name="Moneda 87 5" xfId="3660" xr:uid="{7908DB57-F0E2-4309-8664-4AD816ECA3E3}"/>
    <cellStyle name="Moneda 87 5 2" xfId="11228" xr:uid="{37802352-66C2-4FEC-B647-B9D03F13A8DB}"/>
    <cellStyle name="Moneda 87 6" xfId="8308" xr:uid="{C705E0E1-E13C-4D35-888C-5DF85AE65661}"/>
    <cellStyle name="Moneda 88" xfId="448" xr:uid="{1C10E427-E3D3-4DF7-BD8D-3AA3D33E8F6C}"/>
    <cellStyle name="Moneda 88 2" xfId="1233" xr:uid="{9976B5DB-5BA3-43E0-9F1D-51606F5EC108}"/>
    <cellStyle name="Moneda 88 2 2" xfId="4193" xr:uid="{235FB62E-28E8-4EE4-AF9F-540620FAB04C}"/>
    <cellStyle name="Moneda 88 2 2 2" xfId="11761" xr:uid="{95249120-BE27-4A05-88C8-33210CAE5D2B}"/>
    <cellStyle name="Moneda 88 2 3" xfId="8841" xr:uid="{BE2047E4-A478-43E2-BA85-E6B864DF4702}"/>
    <cellStyle name="Moneda 88 3" xfId="1597" xr:uid="{0AF60DB6-CE5A-4CB2-9CEF-BDF6109162FF}"/>
    <cellStyle name="Moneda 88 3 2" xfId="4557" xr:uid="{E4F4D529-300D-4F96-B281-F672216CEF3F}"/>
    <cellStyle name="Moneda 88 3 2 2" xfId="12125" xr:uid="{D6E19A81-229D-4596-AF28-49A255D9863B}"/>
    <cellStyle name="Moneda 88 3 3" xfId="9205" xr:uid="{3C8F3D91-6EAB-4F0E-B200-A869C73568F7}"/>
    <cellStyle name="Moneda 88 4" xfId="1976" xr:uid="{727D3539-908B-4902-B29B-4FF13DA673A7}"/>
    <cellStyle name="Moneda 88 4 2" xfId="4935" xr:uid="{A116D513-3957-4D33-B226-4F60F416693F}"/>
    <cellStyle name="Moneda 88 4 2 2" xfId="12503" xr:uid="{5B1E2FFB-7A39-4C62-80D1-79AE2597387D}"/>
    <cellStyle name="Moneda 88 4 3" xfId="9583" xr:uid="{3A682847-770A-45CE-970B-D36C44243921}"/>
    <cellStyle name="Moneda 88 5" xfId="3662" xr:uid="{4D4BB6BB-3BD8-47BD-B44D-B2E5C52F9DA4}"/>
    <cellStyle name="Moneda 88 5 2" xfId="11230" xr:uid="{B6C4FDF5-D22C-4F8D-A263-EE97F9B0D2F0}"/>
    <cellStyle name="Moneda 88 6" xfId="8310" xr:uid="{6611A681-11C6-4D23-A45E-92D423EE3309}"/>
    <cellStyle name="Moneda 89" xfId="451" xr:uid="{795C4525-EA37-4E4F-BE2F-71089E06EEA7}"/>
    <cellStyle name="Moneda 89 2" xfId="1235" xr:uid="{AD395DD1-E089-4370-8573-4C408174C206}"/>
    <cellStyle name="Moneda 89 2 2" xfId="4195" xr:uid="{79FE03AC-7414-4948-8FD7-C3C8FB72799F}"/>
    <cellStyle name="Moneda 89 2 2 2" xfId="11763" xr:uid="{B5CE4679-703C-47DC-A382-F2D5B642096B}"/>
    <cellStyle name="Moneda 89 2 3" xfId="8843" xr:uid="{67275869-C39D-4E05-AB71-205BA08FDFEB}"/>
    <cellStyle name="Moneda 89 3" xfId="1599" xr:uid="{5A210B44-8709-4DE4-ACE1-0A3FA4CD22AA}"/>
    <cellStyle name="Moneda 89 3 2" xfId="4559" xr:uid="{8741C5E8-BE3B-426E-9F76-12A307622381}"/>
    <cellStyle name="Moneda 89 3 2 2" xfId="12127" xr:uid="{9944B49B-B86C-4136-B57C-479D651D51E3}"/>
    <cellStyle name="Moneda 89 3 3" xfId="9207" xr:uid="{B6E149A4-D76D-4B58-A2CD-6643BE58DEE3}"/>
    <cellStyle name="Moneda 89 4" xfId="1978" xr:uid="{140E7914-0860-42F9-B14B-2CCEBA49300D}"/>
    <cellStyle name="Moneda 89 4 2" xfId="4937" xr:uid="{45B1B61D-97FB-4496-9A56-7689B6927635}"/>
    <cellStyle name="Moneda 89 4 2 2" xfId="12505" xr:uid="{7A43CA5B-BB01-4340-99CB-F2A8F295782D}"/>
    <cellStyle name="Moneda 89 4 3" xfId="9585" xr:uid="{6C668683-ED2F-4B8B-B453-54CF68C44DE7}"/>
    <cellStyle name="Moneda 89 5" xfId="3664" xr:uid="{4DB304C7-1C81-4226-8B90-553AEC7E020E}"/>
    <cellStyle name="Moneda 89 5 2" xfId="11232" xr:uid="{17411C4A-D198-43BC-AC4D-212D9D3C2F31}"/>
    <cellStyle name="Moneda 89 6" xfId="8312" xr:uid="{30380D90-DC04-4378-AC98-C47DEB1E0B56}"/>
    <cellStyle name="Moneda 9" xfId="39" xr:uid="{00000000-0005-0000-0000-000063000000}"/>
    <cellStyle name="Moneda 9 10" xfId="3198" xr:uid="{73BA6652-62E6-4A30-9533-23C7E5416385}"/>
    <cellStyle name="Moneda 9 10 2" xfId="6202" xr:uid="{F4CE0239-299A-4C20-ADA2-0C0A780E9D0D}"/>
    <cellStyle name="Moneda 9 10 2 2" xfId="13763" xr:uid="{9F2B154D-AD8A-42FB-9137-33586474BE78}"/>
    <cellStyle name="Moneda 9 10 3" xfId="7606" xr:uid="{FCEE5CAE-FB96-434A-930B-B3DB6FB0526D}"/>
    <cellStyle name="Moneda 9 10 3 2" xfId="15135" xr:uid="{B7B9C28E-A431-4B90-90D4-01A4A03D51F9}"/>
    <cellStyle name="Moneda 9 10 4" xfId="10780" xr:uid="{0C3D9B3B-CEF0-4734-AFF4-C4A22D499760}"/>
    <cellStyle name="Moneda 9 11" xfId="3326" xr:uid="{00F55954-9D29-4A32-A79E-7586E634C22C}"/>
    <cellStyle name="Moneda 9 11 2" xfId="6328" xr:uid="{1898CA6F-A34F-4FBF-A9B7-57C0F3DD1A13}"/>
    <cellStyle name="Moneda 9 11 2 2" xfId="13889" xr:uid="{823533B0-F52B-4A76-A99D-46C7EE5B5AD3}"/>
    <cellStyle name="Moneda 9 11 3" xfId="7732" xr:uid="{83E2E99C-407A-471C-85BE-0624955126B4}"/>
    <cellStyle name="Moneda 9 11 3 2" xfId="15261" xr:uid="{DC976D75-2169-4AAE-AADC-4929B918668E}"/>
    <cellStyle name="Moneda 9 11 4" xfId="10906" xr:uid="{79927007-EB02-4836-9721-DC46DCB0AB10}"/>
    <cellStyle name="Moneda 9 12" xfId="2322" xr:uid="{E9EAC32F-69AA-471F-8E28-CC5CFE578F43}"/>
    <cellStyle name="Moneda 9 12 2" xfId="6464" xr:uid="{0734DF42-F1A7-4590-BF92-0EFDE44DA13F}"/>
    <cellStyle name="Moneda 9 12 2 2" xfId="14020" xr:uid="{A35825C5-8F80-40D7-9C06-5744B88EEF1F}"/>
    <cellStyle name="Moneda 9 12 3" xfId="7863" xr:uid="{25142F0C-1CF2-428F-AEBD-D530E0E29787}"/>
    <cellStyle name="Moneda 9 12 3 2" xfId="15392" xr:uid="{3C389F11-953F-4351-8AEA-11DDCC1F9DC3}"/>
    <cellStyle name="Moneda 9 12 4" xfId="9920" xr:uid="{13039EAF-5E24-4BC0-90F5-D91EE6196DBA}"/>
    <cellStyle name="Moneda 9 13" xfId="3489" xr:uid="{19EDD645-8A50-4452-B04B-F46EE2D9E3EB}"/>
    <cellStyle name="Moneda 9 13 2" xfId="11057" xr:uid="{CA850BB0-30F8-4EB2-A468-D91D168EA244}"/>
    <cellStyle name="Moneda 9 14" xfId="5341" xr:uid="{F2D59A24-592B-443F-A0A5-19C248F0FDEF}"/>
    <cellStyle name="Moneda 9 14 2" xfId="12902" xr:uid="{6DEEBF31-751E-4ADA-86B8-3489994EBC56}"/>
    <cellStyle name="Moneda 9 15" xfId="6745" xr:uid="{7470B756-9535-4D84-9B5C-1D99606E1A13}"/>
    <cellStyle name="Moneda 9 15 2" xfId="14274" xr:uid="{352E6B97-F2D6-4300-AB08-1508FE43B4DF}"/>
    <cellStyle name="Moneda 9 16" xfId="8137" xr:uid="{A660D8A6-482B-497A-9788-C630C3D12201}"/>
    <cellStyle name="Moneda 9 17" xfId="183" xr:uid="{E44D669F-A2D1-4824-BE98-B49A20B61C38}"/>
    <cellStyle name="Moneda 9 2" xfId="1075" xr:uid="{67911A12-510A-4D71-A5AE-1765D65F6CBE}"/>
    <cellStyle name="Moneda 9 2 10" xfId="3355" xr:uid="{0A3DEF01-F82C-4A09-BD57-5D2F8452AD2E}"/>
    <cellStyle name="Moneda 9 2 10 2" xfId="6357" xr:uid="{5267B122-F308-4621-8BD2-D4E09F4A1D9D}"/>
    <cellStyle name="Moneda 9 2 10 2 2" xfId="13918" xr:uid="{06270E9B-141C-4090-B966-B3AC67D8C18C}"/>
    <cellStyle name="Moneda 9 2 10 3" xfId="7761" xr:uid="{930C3CE4-E51C-4531-B6A8-F143FDD26094}"/>
    <cellStyle name="Moneda 9 2 10 3 2" xfId="15290" xr:uid="{A60C005A-9066-4B3F-AEFD-9ED2B45A40D9}"/>
    <cellStyle name="Moneda 9 2 10 4" xfId="10935" xr:uid="{CCFEB9F1-E6D1-422F-9081-D4B952F348D9}"/>
    <cellStyle name="Moneda 9 2 11" xfId="2357" xr:uid="{B5CFE630-C019-4DD5-9E4D-B18F4CF24ADE}"/>
    <cellStyle name="Moneda 9 2 11 2" xfId="6493" xr:uid="{D8F3FD99-B3C3-4491-B979-CC1ACA627845}"/>
    <cellStyle name="Moneda 9 2 11 2 2" xfId="14049" xr:uid="{9D315032-9F09-4F04-B65E-24B7778402E4}"/>
    <cellStyle name="Moneda 9 2 11 3" xfId="7892" xr:uid="{E96606AD-D017-4742-9CD7-8B3560C68005}"/>
    <cellStyle name="Moneda 9 2 11 3 2" xfId="15421" xr:uid="{704FDDD0-F433-4BDD-99B0-A5122C6F7851}"/>
    <cellStyle name="Moneda 9 2 11 4" xfId="9950" xr:uid="{3FD5B1AE-DFEA-4E4B-9EA5-8A5C67450457}"/>
    <cellStyle name="Moneda 9 2 12" xfId="4035" xr:uid="{97C33201-E1A0-4A9A-9F56-B501D5F222DF}"/>
    <cellStyle name="Moneda 9 2 12 2" xfId="11603" xr:uid="{1D7C7CDE-D4E5-4089-947D-B22875970D22}"/>
    <cellStyle name="Moneda 9 2 13" xfId="5372" xr:uid="{91C75171-ED95-43E9-A942-90D2B2472834}"/>
    <cellStyle name="Moneda 9 2 13 2" xfId="12933" xr:uid="{0BD0BA2E-A952-4B18-AC58-C632BDE3EE72}"/>
    <cellStyle name="Moneda 9 2 14" xfId="6776" xr:uid="{10FC488F-7231-44CB-8710-7A57CAEFE297}"/>
    <cellStyle name="Moneda 9 2 14 2" xfId="14305" xr:uid="{564F5765-C765-495D-A100-47CF065F402A}"/>
    <cellStyle name="Moneda 9 2 15" xfId="8683" xr:uid="{F28E6210-0DF8-487D-8B1D-00E7DAB44EC4}"/>
    <cellStyle name="Moneda 9 2 2" xfId="2420" xr:uid="{57D613E5-3B6A-4BBC-A074-6BBFA80F544F}"/>
    <cellStyle name="Moneda 9 2 2 10" xfId="6551" xr:uid="{9D7D32A2-8CB4-428C-8821-BA6C3BA55D48}"/>
    <cellStyle name="Moneda 9 2 2 10 2" xfId="7950" xr:uid="{EAF6F487-1B29-4114-B511-CE3F9DA26571}"/>
    <cellStyle name="Moneda 9 2 2 10 2 2" xfId="15479" xr:uid="{B68D3001-22F4-401A-8E0D-EDA2F5C0C407}"/>
    <cellStyle name="Moneda 9 2 2 10 3" xfId="14107" xr:uid="{AFE7394E-6447-41E8-A9C3-99F15DE62D96}"/>
    <cellStyle name="Moneda 9 2 2 11" xfId="5430" xr:uid="{DD55B697-EAA7-4D3F-9FAB-A1790EF8CFDD}"/>
    <cellStyle name="Moneda 9 2 2 11 2" xfId="12991" xr:uid="{6B04EF29-A53A-4C04-81D3-00FE3E425773}"/>
    <cellStyle name="Moneda 9 2 2 12" xfId="6834" xr:uid="{E6A13E26-FEA1-4298-BE7F-0DA794031D44}"/>
    <cellStyle name="Moneda 9 2 2 12 2" xfId="14363" xr:uid="{790A7F31-07FA-4624-B7FB-8150E414CA1B}"/>
    <cellStyle name="Moneda 9 2 2 13" xfId="10008" xr:uid="{838ACAFB-C0FC-4DB5-90EB-33637D52745D}"/>
    <cellStyle name="Moneda 9 2 2 2" xfId="2544" xr:uid="{3433B411-B47D-4AE4-BBC1-702BA8705422}"/>
    <cellStyle name="Moneda 9 2 2 2 2" xfId="6686" xr:uid="{0612DC52-4AF0-4ED9-912F-26451FC10EE3}"/>
    <cellStyle name="Moneda 9 2 2 2 2 2" xfId="8072" xr:uid="{E2041F67-7CA3-4A9D-87A7-C4C23D18E9B6}"/>
    <cellStyle name="Moneda 9 2 2 2 2 2 2" xfId="15601" xr:uid="{9E50D1A8-984F-4B40-BF8B-6C39F2B42EE6}"/>
    <cellStyle name="Moneda 9 2 2 2 2 3" xfId="14229" xr:uid="{0F12507D-EE8A-44C8-A4A2-8B44A2894D1C}"/>
    <cellStyle name="Moneda 9 2 2 2 3" xfId="5550" xr:uid="{CEB4CAAF-AAF5-486A-95C6-E1DD3AF3B8AF}"/>
    <cellStyle name="Moneda 9 2 2 2 3 2" xfId="13111" xr:uid="{10E7EA8C-842F-4F1B-9074-5A29F6D34B79}"/>
    <cellStyle name="Moneda 9 2 2 2 4" xfId="6954" xr:uid="{E8ECECA6-2D25-40B0-9197-2152A31922C9}"/>
    <cellStyle name="Moneda 9 2 2 2 4 2" xfId="14483" xr:uid="{784E15B8-7CA1-4559-A38A-362809A72806}"/>
    <cellStyle name="Moneda 9 2 2 2 5" xfId="10128" xr:uid="{88AF631F-E354-499F-9D31-52306FBD4959}"/>
    <cellStyle name="Moneda 9 2 2 3" xfId="2665" xr:uid="{9BD897D3-91F5-4F90-A57E-CBE4FA3F80D8}"/>
    <cellStyle name="Moneda 9 2 2 3 2" xfId="5670" xr:uid="{F792668D-4C24-478E-82F9-9BA542CF866D}"/>
    <cellStyle name="Moneda 9 2 2 3 2 2" xfId="13231" xr:uid="{ECD783C8-7DDA-43A0-A065-388C49C432E8}"/>
    <cellStyle name="Moneda 9 2 2 3 3" xfId="7074" xr:uid="{B89858EE-B8C4-4ACD-9E03-1763AC0BF1D4}"/>
    <cellStyle name="Moneda 9 2 2 3 3 2" xfId="14603" xr:uid="{9BAE10CF-54E2-4F31-A17A-C19EB43F8EBF}"/>
    <cellStyle name="Moneda 9 2 2 3 4" xfId="10248" xr:uid="{3D1D859B-AA36-484D-BBDD-891EBD8587CF}"/>
    <cellStyle name="Moneda 9 2 2 4" xfId="2787" xr:uid="{4C96243B-9158-432A-9D5A-FE84D8D0BC96}"/>
    <cellStyle name="Moneda 9 2 2 4 2" xfId="5792" xr:uid="{2B1C15CA-CD92-41D8-86AE-95F7524D968F}"/>
    <cellStyle name="Moneda 9 2 2 4 2 2" xfId="13353" xr:uid="{971CE17B-EC0D-48CF-8D7A-DD877492C764}"/>
    <cellStyle name="Moneda 9 2 2 4 3" xfId="7196" xr:uid="{FB67431E-55C6-478C-A5ED-E67548896B24}"/>
    <cellStyle name="Moneda 9 2 2 4 3 2" xfId="14725" xr:uid="{92CFD787-0609-49C4-B588-58E925D41E15}"/>
    <cellStyle name="Moneda 9 2 2 4 4" xfId="10370" xr:uid="{17763858-A5BE-4D5B-A358-CDA1BE8648F2}"/>
    <cellStyle name="Moneda 9 2 2 5" xfId="2912" xr:uid="{8DC7E99C-7807-47B0-8E05-34B4122D3084}"/>
    <cellStyle name="Moneda 9 2 2 5 2" xfId="5916" xr:uid="{8E6644A5-40CB-4662-B2CE-AB077AB57821}"/>
    <cellStyle name="Moneda 9 2 2 5 2 2" xfId="13477" xr:uid="{AE4B807D-1827-4694-A0E9-828A2ED88F11}"/>
    <cellStyle name="Moneda 9 2 2 5 3" xfId="7320" xr:uid="{69E0A0FF-5A39-41D4-AC28-CCF61403D319}"/>
    <cellStyle name="Moneda 9 2 2 5 3 2" xfId="14849" xr:uid="{9607B338-9A9A-481B-9E14-E7C528FD9E3E}"/>
    <cellStyle name="Moneda 9 2 2 5 4" xfId="10494" xr:uid="{2B53B6FB-6EDA-4ADE-B7AD-F1402A281DAE}"/>
    <cellStyle name="Moneda 9 2 2 6" xfId="3036" xr:uid="{BB571FAF-40A0-4F6B-B86F-3A49C7D9E1D8}"/>
    <cellStyle name="Moneda 9 2 2 6 2" xfId="6040" xr:uid="{0D8AD520-3AC7-4787-8892-C5426BC02A22}"/>
    <cellStyle name="Moneda 9 2 2 6 2 2" xfId="13601" xr:uid="{06FCFAC4-9C19-4A84-AF00-36F2FDFFB9AA}"/>
    <cellStyle name="Moneda 9 2 2 6 3" xfId="7444" xr:uid="{D853198C-2D3A-4BC4-A3C9-1CA1DD53B938}"/>
    <cellStyle name="Moneda 9 2 2 6 3 2" xfId="14973" xr:uid="{F83A91B9-6D81-4793-B1E6-85C07A267BB8}"/>
    <cellStyle name="Moneda 9 2 2 6 4" xfId="10618" xr:uid="{87D7111F-5817-4022-8B88-DB40F3A049DC}"/>
    <cellStyle name="Moneda 9 2 2 7" xfId="3160" xr:uid="{5B02146E-E60E-4B81-8944-9673274C5E0A}"/>
    <cellStyle name="Moneda 9 2 2 7 2" xfId="6164" xr:uid="{B45FE71F-FDF8-4CB3-A05B-A76702AA8234}"/>
    <cellStyle name="Moneda 9 2 2 7 2 2" xfId="13725" xr:uid="{0987EDEE-139F-4BF8-9CCA-33F2249E33F1}"/>
    <cellStyle name="Moneda 9 2 2 7 3" xfId="7568" xr:uid="{864C0989-8460-499C-AC16-66D988FBFEC6}"/>
    <cellStyle name="Moneda 9 2 2 7 3 2" xfId="15097" xr:uid="{2BED20A4-D455-45B9-8E6E-06C1AA6B6ACF}"/>
    <cellStyle name="Moneda 9 2 2 7 4" xfId="10742" xr:uid="{F5C58360-652B-4249-89F2-2830B401ADE0}"/>
    <cellStyle name="Moneda 9 2 2 8" xfId="3285" xr:uid="{3C1F4EE9-EC66-4BE9-91A0-7EAD575438F3}"/>
    <cellStyle name="Moneda 9 2 2 8 2" xfId="6289" xr:uid="{F8ADA0F8-02DA-4E9E-AEFD-A49355464171}"/>
    <cellStyle name="Moneda 9 2 2 8 2 2" xfId="13850" xr:uid="{AAE3488E-DBDE-4154-B1F3-09EFF40C7B01}"/>
    <cellStyle name="Moneda 9 2 2 8 3" xfId="7693" xr:uid="{6825FB4F-C427-46EA-AE36-73E22C54220A}"/>
    <cellStyle name="Moneda 9 2 2 8 3 2" xfId="15222" xr:uid="{54975F36-8F63-4C6F-9DCF-236B87D71CF2}"/>
    <cellStyle name="Moneda 9 2 2 8 4" xfId="10867" xr:uid="{35368894-350B-4D0C-A155-77ACE8CD4278}"/>
    <cellStyle name="Moneda 9 2 2 9" xfId="3413" xr:uid="{5915F6A1-CDF1-4B69-8C22-C5BC2C07AC1D}"/>
    <cellStyle name="Moneda 9 2 2 9 2" xfId="6415" xr:uid="{ACEF1574-F4EF-4EA0-BFA8-C675A2763376}"/>
    <cellStyle name="Moneda 9 2 2 9 2 2" xfId="13976" xr:uid="{78E81C14-ECF4-4C62-99B5-2C00902A5E2D}"/>
    <cellStyle name="Moneda 9 2 2 9 3" xfId="7819" xr:uid="{0F710B0C-0CE1-4686-BC8C-F69CC3CE3A7A}"/>
    <cellStyle name="Moneda 9 2 2 9 3 2" xfId="15348" xr:uid="{8BA769D8-86DB-46A8-BB0C-590FAEECA83A}"/>
    <cellStyle name="Moneda 9 2 2 9 4" xfId="10993" xr:uid="{02F274CE-276A-47BA-AFCC-1BB6612F5B52}"/>
    <cellStyle name="Moneda 9 2 3" xfId="2486" xr:uid="{B325A386-F7C4-4BD8-B789-AE1D7C24CAEA}"/>
    <cellStyle name="Moneda 9 2 3 2" xfId="6628" xr:uid="{8E4AC134-AFE3-4E99-8923-44515ADABD78}"/>
    <cellStyle name="Moneda 9 2 3 2 2" xfId="8014" xr:uid="{EE17745F-77D7-4C98-9B6E-B8FDAD0DD2EE}"/>
    <cellStyle name="Moneda 9 2 3 2 2 2" xfId="15543" xr:uid="{71F807A9-263B-40EE-B572-10579904D44D}"/>
    <cellStyle name="Moneda 9 2 3 2 3" xfId="14171" xr:uid="{95F23FC0-0250-40A5-9092-961531D35029}"/>
    <cellStyle name="Moneda 9 2 3 3" xfId="5492" xr:uid="{400A7290-8F0E-43FF-AE65-BC347C8E08C2}"/>
    <cellStyle name="Moneda 9 2 3 3 2" xfId="13053" xr:uid="{3AF03982-DF3D-4E0A-AC37-9210C86D23A9}"/>
    <cellStyle name="Moneda 9 2 3 4" xfId="6896" xr:uid="{1838D7D5-D9ED-4644-A9AA-F565C894ABC3}"/>
    <cellStyle name="Moneda 9 2 3 4 2" xfId="14425" xr:uid="{B9A589EC-F10D-4500-A8FC-773A98ABAB8F}"/>
    <cellStyle name="Moneda 9 2 3 5" xfId="10070" xr:uid="{27786E76-0F87-44DD-9411-54722944F308}"/>
    <cellStyle name="Moneda 9 2 4" xfId="2607" xr:uid="{A8D9E746-65C3-4F45-B6D8-5E150F5AEFC2}"/>
    <cellStyle name="Moneda 9 2 4 2" xfId="5612" xr:uid="{3C4A570B-7C3E-47B5-8540-2C89491F8B19}"/>
    <cellStyle name="Moneda 9 2 4 2 2" xfId="13173" xr:uid="{F73D2431-D827-4753-B08E-AD8AA1773785}"/>
    <cellStyle name="Moneda 9 2 4 3" xfId="7016" xr:uid="{508132D5-9F2A-42B7-AB94-180687ED55CF}"/>
    <cellStyle name="Moneda 9 2 4 3 2" xfId="14545" xr:uid="{60E32147-4641-4CFB-9337-F093DF9D20D0}"/>
    <cellStyle name="Moneda 9 2 4 4" xfId="10190" xr:uid="{9EA651EB-D28F-431E-8EC8-8D6AAF85C3A8}"/>
    <cellStyle name="Moneda 9 2 5" xfId="2729" xr:uid="{DE39570E-06B2-4F13-86C3-7AE78DE50299}"/>
    <cellStyle name="Moneda 9 2 5 2" xfId="5734" xr:uid="{C24925F0-4EBA-4427-87A6-13373F8A7B6F}"/>
    <cellStyle name="Moneda 9 2 5 2 2" xfId="13295" xr:uid="{D2EDC16F-2C47-4574-9F81-D289B37A3E4B}"/>
    <cellStyle name="Moneda 9 2 5 3" xfId="7138" xr:uid="{EC7F7612-2EAC-44BA-832D-59A5025929B3}"/>
    <cellStyle name="Moneda 9 2 5 3 2" xfId="14667" xr:uid="{15E74644-A67C-4CF8-AE04-E770321C4E7E}"/>
    <cellStyle name="Moneda 9 2 5 4" xfId="10312" xr:uid="{DAD98CFA-AD87-4865-85F3-35E30CEA4F83}"/>
    <cellStyle name="Moneda 9 2 6" xfId="2854" xr:uid="{9DCC87A6-EC69-43CC-97F5-BA14A0C950B7}"/>
    <cellStyle name="Moneda 9 2 6 2" xfId="5858" xr:uid="{612F1FF5-086E-4293-9F27-3975D10D5921}"/>
    <cellStyle name="Moneda 9 2 6 2 2" xfId="13419" xr:uid="{29EBCF38-DE1F-4B4C-B3CD-C73BB19AEDEF}"/>
    <cellStyle name="Moneda 9 2 6 3" xfId="7262" xr:uid="{093B8F16-6747-487B-9B2F-B4AF1770D6B6}"/>
    <cellStyle name="Moneda 9 2 6 3 2" xfId="14791" xr:uid="{E9B2F7A8-7283-49EF-B66D-DCA8FC3BE22E}"/>
    <cellStyle name="Moneda 9 2 6 4" xfId="10436" xr:uid="{2CF89B33-2E39-431A-89A8-1F05A28CFBE3}"/>
    <cellStyle name="Moneda 9 2 7" xfId="2978" xr:uid="{864127A7-C47B-44EB-BF4C-30D562FDCA8B}"/>
    <cellStyle name="Moneda 9 2 7 2" xfId="5982" xr:uid="{AA887671-21FC-4222-8FAB-334E3BF6743B}"/>
    <cellStyle name="Moneda 9 2 7 2 2" xfId="13543" xr:uid="{22DC970B-4AF4-4A7F-90BA-2EFD41A9E796}"/>
    <cellStyle name="Moneda 9 2 7 3" xfId="7386" xr:uid="{283141CE-CB5D-4CB7-BBF2-97CC1D63FAEF}"/>
    <cellStyle name="Moneda 9 2 7 3 2" xfId="14915" xr:uid="{1E00CCA4-1BF4-4DE0-8333-147C615B9A72}"/>
    <cellStyle name="Moneda 9 2 7 4" xfId="10560" xr:uid="{52712599-1AC1-42B1-BA17-2749A161FE61}"/>
    <cellStyle name="Moneda 9 2 8" xfId="3102" xr:uid="{DC7FC3BF-33CB-4E2F-A05B-8FA667FDC763}"/>
    <cellStyle name="Moneda 9 2 8 2" xfId="6106" xr:uid="{5AFA57DE-D42F-49CE-94CF-42A9F8F22416}"/>
    <cellStyle name="Moneda 9 2 8 2 2" xfId="13667" xr:uid="{3ED72E35-C7BF-4A09-9B34-91D7F29DE0CF}"/>
    <cellStyle name="Moneda 9 2 8 3" xfId="7510" xr:uid="{82F16553-546B-4308-98A8-B7F4001D627A}"/>
    <cellStyle name="Moneda 9 2 8 3 2" xfId="15039" xr:uid="{B8E7DC6F-E02D-4CE7-A672-1F32B3B29A9A}"/>
    <cellStyle name="Moneda 9 2 8 4" xfId="10684" xr:uid="{A423EA6A-B7A3-4ADA-9559-968B81F9DE12}"/>
    <cellStyle name="Moneda 9 2 9" xfId="3227" xr:uid="{FBE890C6-6AE3-46BB-A46D-15A5C2CDCFB3}"/>
    <cellStyle name="Moneda 9 2 9 2" xfId="6231" xr:uid="{3A32AB93-2C98-43D7-B698-DD49A914617F}"/>
    <cellStyle name="Moneda 9 2 9 2 2" xfId="13792" xr:uid="{10EF1C93-553F-4D05-AC7F-3EA3F4D1BAED}"/>
    <cellStyle name="Moneda 9 2 9 3" xfId="7635" xr:uid="{61069480-EB2F-4078-8D98-6E9B8346EA93}"/>
    <cellStyle name="Moneda 9 2 9 3 2" xfId="15164" xr:uid="{AEC57E00-F5B1-42F8-9420-595E653AE494}"/>
    <cellStyle name="Moneda 9 2 9 4" xfId="10809" xr:uid="{32AE575B-B7C7-4813-B872-F34F0121AE0F}"/>
    <cellStyle name="Moneda 9 3" xfId="1439" xr:uid="{AAC29A96-A69C-403E-A55D-279A68D0E6BA}"/>
    <cellStyle name="Moneda 9 3 10" xfId="2391" xr:uid="{A639F3DC-7607-4B1E-8D84-8973D142BB8A}"/>
    <cellStyle name="Moneda 9 3 10 2" xfId="6522" xr:uid="{AC11EE12-7A64-42AC-9038-61955E53998A}"/>
    <cellStyle name="Moneda 9 3 10 2 2" xfId="14078" xr:uid="{01B4CFE1-45D0-4BEF-96D7-8D96C8E0326A}"/>
    <cellStyle name="Moneda 9 3 10 3" xfId="7921" xr:uid="{9DF1E83D-1099-44DD-9AA2-66C593387946}"/>
    <cellStyle name="Moneda 9 3 10 3 2" xfId="15450" xr:uid="{53D2C9A8-B13C-4189-820C-922B95AAF09C}"/>
    <cellStyle name="Moneda 9 3 10 4" xfId="9979" xr:uid="{0CC1D00D-22A4-4653-9303-85F0F2E6FCC6}"/>
    <cellStyle name="Moneda 9 3 11" xfId="4399" xr:uid="{690A9427-E3FF-455A-B0DA-395EED1AC673}"/>
    <cellStyle name="Moneda 9 3 11 2" xfId="11967" xr:uid="{ABFB4BA6-F2D2-478F-87E8-AF499A0F746E}"/>
    <cellStyle name="Moneda 9 3 12" xfId="5401" xr:uid="{9CB9026D-3E3F-41A9-A90B-EBA3876877D4}"/>
    <cellStyle name="Moneda 9 3 12 2" xfId="12962" xr:uid="{8AD95C58-A557-47A1-84D2-3CE7725ADB5F}"/>
    <cellStyle name="Moneda 9 3 13" xfId="6805" xr:uid="{E47E61A7-A657-41B9-B228-543363DE8DB8}"/>
    <cellStyle name="Moneda 9 3 13 2" xfId="14334" xr:uid="{EA9A9F16-DB7B-4767-B20E-FD6390A38F24}"/>
    <cellStyle name="Moneda 9 3 14" xfId="9047" xr:uid="{F841D153-D010-4C65-85E8-C7AECBF53BD5}"/>
    <cellStyle name="Moneda 9 3 2" xfId="2515" xr:uid="{1663EF12-35F3-4117-9B1D-B81A81A4C0BA}"/>
    <cellStyle name="Moneda 9 3 2 2" xfId="6657" xr:uid="{B6F1B1D4-12D1-4783-B09B-95B9BA215E44}"/>
    <cellStyle name="Moneda 9 3 2 2 2" xfId="8043" xr:uid="{6E6BFB29-5A71-4BDE-A5BA-A259DB8BD960}"/>
    <cellStyle name="Moneda 9 3 2 2 2 2" xfId="15572" xr:uid="{CE3A871F-0FF0-4014-AFF0-4584956A5ED0}"/>
    <cellStyle name="Moneda 9 3 2 2 3" xfId="14200" xr:uid="{C099AF2C-B2E0-41F9-BF9A-EA430009BA5B}"/>
    <cellStyle name="Moneda 9 3 2 3" xfId="5521" xr:uid="{EC3EE7E1-6CFC-45FD-928D-73C71862FB3D}"/>
    <cellStyle name="Moneda 9 3 2 3 2" xfId="13082" xr:uid="{4EDD41D3-B975-407C-A36A-889B9FF9EF19}"/>
    <cellStyle name="Moneda 9 3 2 4" xfId="6925" xr:uid="{D2A62F25-023E-4489-8D72-37F6A4533605}"/>
    <cellStyle name="Moneda 9 3 2 4 2" xfId="14454" xr:uid="{717A2A6F-DD73-4E1F-AC1B-F25131AB7D5B}"/>
    <cellStyle name="Moneda 9 3 2 5" xfId="10099" xr:uid="{844E47C8-DCB8-4236-BC4D-EEDFFACCDA5C}"/>
    <cellStyle name="Moneda 9 3 3" xfId="2636" xr:uid="{51934089-DEE5-4B3F-9919-6CC1C74A7A80}"/>
    <cellStyle name="Moneda 9 3 3 2" xfId="5641" xr:uid="{49DA5057-6A7D-4225-AED5-922BDDAAAC5B}"/>
    <cellStyle name="Moneda 9 3 3 2 2" xfId="13202" xr:uid="{1516B8B3-E4D2-4285-808D-4F968D9F5213}"/>
    <cellStyle name="Moneda 9 3 3 3" xfId="7045" xr:uid="{596F9044-16E9-4481-8FA7-208B46E05B39}"/>
    <cellStyle name="Moneda 9 3 3 3 2" xfId="14574" xr:uid="{44221D3C-6826-40F5-BE5F-BEACDA2C45FB}"/>
    <cellStyle name="Moneda 9 3 3 4" xfId="10219" xr:uid="{5500DBE6-A44B-4085-9DBD-557E813F2D6D}"/>
    <cellStyle name="Moneda 9 3 4" xfId="2758" xr:uid="{9A6C13FC-1769-4E7C-B723-A66DC12139EF}"/>
    <cellStyle name="Moneda 9 3 4 2" xfId="5763" xr:uid="{7D9EC264-BF88-48FD-9F4E-36BE177F9339}"/>
    <cellStyle name="Moneda 9 3 4 2 2" xfId="13324" xr:uid="{DBEC202C-DA9F-4958-B92E-B0ECADE4F1D9}"/>
    <cellStyle name="Moneda 9 3 4 3" xfId="7167" xr:uid="{7A987B97-20E5-4FCD-9773-CB1E8EFEDFD9}"/>
    <cellStyle name="Moneda 9 3 4 3 2" xfId="14696" xr:uid="{58F89803-719E-481F-BB13-FF070E4A38A2}"/>
    <cellStyle name="Moneda 9 3 4 4" xfId="10341" xr:uid="{574787C7-9FE5-4AEE-98E2-429D47B1A690}"/>
    <cellStyle name="Moneda 9 3 5" xfId="2883" xr:uid="{F9155ADA-EA06-4276-B290-459D1CACF137}"/>
    <cellStyle name="Moneda 9 3 5 2" xfId="5887" xr:uid="{80E176A2-90AE-4E91-9892-B8AA55B23D14}"/>
    <cellStyle name="Moneda 9 3 5 2 2" xfId="13448" xr:uid="{CF0F7113-EC52-41BD-8487-1859C31211A2}"/>
    <cellStyle name="Moneda 9 3 5 3" xfId="7291" xr:uid="{AB0D51E0-2726-4011-BB34-5442446E738B}"/>
    <cellStyle name="Moneda 9 3 5 3 2" xfId="14820" xr:uid="{9C58960D-3DC7-4F2C-8E57-F19EF8E8E3C3}"/>
    <cellStyle name="Moneda 9 3 5 4" xfId="10465" xr:uid="{778A0113-14C6-4E84-8947-74C85BB0E481}"/>
    <cellStyle name="Moneda 9 3 6" xfId="3007" xr:uid="{855811AA-89C1-4796-90F5-F2E83B5525AD}"/>
    <cellStyle name="Moneda 9 3 6 2" xfId="6011" xr:uid="{FAA3CA86-4B86-4243-BE0F-501BAEE9A9F6}"/>
    <cellStyle name="Moneda 9 3 6 2 2" xfId="13572" xr:uid="{67CBE1C7-A8D5-4274-B04D-2DDFBA76CF36}"/>
    <cellStyle name="Moneda 9 3 6 3" xfId="7415" xr:uid="{C850BC3A-E763-4644-842A-843BFA9F0495}"/>
    <cellStyle name="Moneda 9 3 6 3 2" xfId="14944" xr:uid="{050EB4EB-19CC-46D9-A26B-0261075FAAFF}"/>
    <cellStyle name="Moneda 9 3 6 4" xfId="10589" xr:uid="{26C06DB1-4EE4-4E00-8E7E-69474B216D0F}"/>
    <cellStyle name="Moneda 9 3 7" xfId="3131" xr:uid="{611EF7F0-56F1-49BB-AD7E-D8AF1A0F964D}"/>
    <cellStyle name="Moneda 9 3 7 2" xfId="6135" xr:uid="{ADBE3DBA-5BCA-4EA9-A452-68CB08F957C4}"/>
    <cellStyle name="Moneda 9 3 7 2 2" xfId="13696" xr:uid="{CC9BE7AB-1FF8-409E-B419-E42F26C6BB56}"/>
    <cellStyle name="Moneda 9 3 7 3" xfId="7539" xr:uid="{D6424001-0A8B-4F5E-97CA-9B370DD255F3}"/>
    <cellStyle name="Moneda 9 3 7 3 2" xfId="15068" xr:uid="{69C53E69-6304-427F-977F-7370E410EB17}"/>
    <cellStyle name="Moneda 9 3 7 4" xfId="10713" xr:uid="{D62FCDBD-6412-4C33-B4A5-2AE959DFCAAE}"/>
    <cellStyle name="Moneda 9 3 8" xfId="3256" xr:uid="{F0A65678-9603-42B9-9184-57EC8573A889}"/>
    <cellStyle name="Moneda 9 3 8 2" xfId="6260" xr:uid="{494B5A68-A000-4DE9-AE48-BED04A3C3A03}"/>
    <cellStyle name="Moneda 9 3 8 2 2" xfId="13821" xr:uid="{48698DE7-1589-48D1-83DE-78CA25CCA67E}"/>
    <cellStyle name="Moneda 9 3 8 3" xfId="7664" xr:uid="{54BD9F7C-490F-48D5-9233-66301F108222}"/>
    <cellStyle name="Moneda 9 3 8 3 2" xfId="15193" xr:uid="{4A1D27F5-F6E4-412E-9BDF-5B8D49D599FB}"/>
    <cellStyle name="Moneda 9 3 8 4" xfId="10838" xr:uid="{6FF6B56E-B987-462E-B73F-7B42969C6737}"/>
    <cellStyle name="Moneda 9 3 9" xfId="3384" xr:uid="{E5E9ADE3-CF91-4C9E-8A26-368F83B7EA4A}"/>
    <cellStyle name="Moneda 9 3 9 2" xfId="6386" xr:uid="{6DE76343-A8D5-43A3-B38D-27774D36524B}"/>
    <cellStyle name="Moneda 9 3 9 2 2" xfId="13947" xr:uid="{455F7289-F5CC-4131-9E0C-C4F2F48508EB}"/>
    <cellStyle name="Moneda 9 3 9 3" xfId="7790" xr:uid="{18D5504D-2343-41E5-824C-B216B8007568}"/>
    <cellStyle name="Moneda 9 3 9 3 2" xfId="15319" xr:uid="{BF2B6972-D158-48DE-A69A-E710AC825802}"/>
    <cellStyle name="Moneda 9 3 9 4" xfId="10964" xr:uid="{C91900B4-E448-4A84-BC2C-E6264C4E232B}"/>
    <cellStyle name="Moneda 9 4" xfId="1818" xr:uid="{443B396E-250B-465A-A33F-80420610A20D}"/>
    <cellStyle name="Moneda 9 4 2" xfId="2456" xr:uid="{AF540B13-6D51-4926-8D1B-6C04566D4BB3}"/>
    <cellStyle name="Moneda 9 4 2 2" xfId="6589" xr:uid="{F324FABB-5118-417F-8B17-749F0BFEBEAA}"/>
    <cellStyle name="Moneda 9 4 2 2 2" xfId="14142" xr:uid="{5324E0B7-675E-4ED5-9496-4AF00C54052E}"/>
    <cellStyle name="Moneda 9 4 2 3" xfId="7985" xr:uid="{4972AD1C-E93A-4313-ADEF-7E179A8F5708}"/>
    <cellStyle name="Moneda 9 4 2 3 2" xfId="15514" xr:uid="{2F91D453-EDAA-4549-B8F8-4FF5E2F31998}"/>
    <cellStyle name="Moneda 9 4 2 4" xfId="10040" xr:uid="{F0167662-18E9-4814-A29A-5ABE555D043D}"/>
    <cellStyle name="Moneda 9 4 3" xfId="4777" xr:uid="{4B2C43D9-77F4-4FF9-A83B-41996D8866CC}"/>
    <cellStyle name="Moneda 9 4 3 2" xfId="12345" xr:uid="{F784E771-E4FC-4E3F-9D3A-11C43727DA01}"/>
    <cellStyle name="Moneda 9 4 4" xfId="5462" xr:uid="{D803694D-B362-46BF-BDB1-CC4F4E477291}"/>
    <cellStyle name="Moneda 9 4 4 2" xfId="13023" xr:uid="{B5EF929E-1B60-49E3-9F07-BD2F11815C3A}"/>
    <cellStyle name="Moneda 9 4 5" xfId="6866" xr:uid="{8DBE8590-D2AE-4F30-89A7-E4FE72CCD9FB}"/>
    <cellStyle name="Moneda 9 4 5 2" xfId="14395" xr:uid="{84A7C0EC-1D34-4745-929C-4680AAAB325E}"/>
    <cellStyle name="Moneda 9 4 6" xfId="9425" xr:uid="{1DECF9A5-CC66-4973-9E44-358E7FA9DD96}"/>
    <cellStyle name="Moneda 9 5" xfId="2578" xr:uid="{D407249B-05CE-408A-B1CC-63E41C3CC93E}"/>
    <cellStyle name="Moneda 9 5 2" xfId="5583" xr:uid="{EE07DCE6-40C1-41D8-BAC0-362A984C6C57}"/>
    <cellStyle name="Moneda 9 5 2 2" xfId="13144" xr:uid="{3A2AADCF-99A0-4DB9-A92A-706A4B862CCB}"/>
    <cellStyle name="Moneda 9 5 3" xfId="6987" xr:uid="{CB94B85B-72B4-42D1-8E4B-884FE4D32C11}"/>
    <cellStyle name="Moneda 9 5 3 2" xfId="14516" xr:uid="{F14211A3-69B7-4D8F-A526-7D2D48D260EC}"/>
    <cellStyle name="Moneda 9 5 4" xfId="10161" xr:uid="{457B2F5F-4618-4B04-8A12-13B91B02A0AE}"/>
    <cellStyle name="Moneda 9 6" xfId="2700" xr:uid="{30DBC265-A3FD-474A-9E9F-8967B7CD0DC8}"/>
    <cellStyle name="Moneda 9 6 2" xfId="5705" xr:uid="{72772DCF-B78D-41A4-BB10-90EC9BC19FFB}"/>
    <cellStyle name="Moneda 9 6 2 2" xfId="13266" xr:uid="{2D9CEE7F-154D-4F43-A95D-FF498D0302E6}"/>
    <cellStyle name="Moneda 9 6 3" xfId="7109" xr:uid="{F7AB3275-2F79-485F-91F4-495B80E3EDF2}"/>
    <cellStyle name="Moneda 9 6 3 2" xfId="14638" xr:uid="{3C32D7F3-05F3-4F06-A0EF-5D2F2200F695}"/>
    <cellStyle name="Moneda 9 6 4" xfId="10283" xr:uid="{88006F4D-6C1B-4351-9B8C-B0B38164E808}"/>
    <cellStyle name="Moneda 9 7" xfId="2825" xr:uid="{EB7E38ED-6027-41E5-BBB7-60793C2011C7}"/>
    <cellStyle name="Moneda 9 7 2" xfId="5829" xr:uid="{80C3A9E5-DB7D-4F97-86E0-4A3B75FF8251}"/>
    <cellStyle name="Moneda 9 7 2 2" xfId="13390" xr:uid="{B6B61259-9D9D-4077-A306-218802D4AF29}"/>
    <cellStyle name="Moneda 9 7 3" xfId="7233" xr:uid="{A326C008-2392-4157-8F50-A899C477DBD1}"/>
    <cellStyle name="Moneda 9 7 3 2" xfId="14762" xr:uid="{5FE93C81-68C8-4E7D-A4A8-B2761F1C6130}"/>
    <cellStyle name="Moneda 9 7 4" xfId="10407" xr:uid="{9E023391-8BA4-44E3-A2A8-8FA2A3CDB75A}"/>
    <cellStyle name="Moneda 9 8" xfId="2949" xr:uid="{9538AFAE-340F-4E5F-8BC2-2FE3C606A6A1}"/>
    <cellStyle name="Moneda 9 8 2" xfId="5953" xr:uid="{DE779441-3250-4736-A75D-A3160C4C867C}"/>
    <cellStyle name="Moneda 9 8 2 2" xfId="13514" xr:uid="{F3CF1246-B841-4ACF-B69E-086B5E88BF82}"/>
    <cellStyle name="Moneda 9 8 3" xfId="7357" xr:uid="{C5CCF230-BFA9-473F-9D9F-0F49670DADB2}"/>
    <cellStyle name="Moneda 9 8 3 2" xfId="14886" xr:uid="{89F3399C-0BC6-42DA-85F2-BB55FEA847FA}"/>
    <cellStyle name="Moneda 9 8 4" xfId="10531" xr:uid="{69AFCAB5-FBBD-4C6D-9C69-3A41219CE276}"/>
    <cellStyle name="Moneda 9 9" xfId="3073" xr:uid="{276B6C13-4A15-4125-92FF-6B323A428E3F}"/>
    <cellStyle name="Moneda 9 9 2" xfId="6077" xr:uid="{949CF42C-80C1-4D3A-81DC-189297FBE708}"/>
    <cellStyle name="Moneda 9 9 2 2" xfId="13638" xr:uid="{462E06EF-1D11-4D85-BDA5-2BE5A73F39BD}"/>
    <cellStyle name="Moneda 9 9 3" xfId="7481" xr:uid="{4ADCB5C2-A314-42B3-8641-289DC44569A0}"/>
    <cellStyle name="Moneda 9 9 3 2" xfId="15010" xr:uid="{207EB9DF-DCFF-42B7-BE2C-7DCA3CE8E6C5}"/>
    <cellStyle name="Moneda 9 9 4" xfId="10655" xr:uid="{CB540960-EFA3-493F-8182-064644FDFF3F}"/>
    <cellStyle name="Moneda 90" xfId="454" xr:uid="{C4B87109-8411-4172-94CA-10A5FC811EC1}"/>
    <cellStyle name="Moneda 90 2" xfId="1237" xr:uid="{1F1460C2-3AD9-457A-9929-182096D17450}"/>
    <cellStyle name="Moneda 90 2 2" xfId="4197" xr:uid="{5169D457-917E-4485-8269-E87B3C995A57}"/>
    <cellStyle name="Moneda 90 2 2 2" xfId="11765" xr:uid="{D20A406B-3547-4702-8753-0FE3A0774B19}"/>
    <cellStyle name="Moneda 90 2 3" xfId="8845" xr:uid="{0872E035-1B04-4B42-B4A2-D0362A8C65B1}"/>
    <cellStyle name="Moneda 90 3" xfId="1601" xr:uid="{3AE818C5-78C7-4221-8557-4A9B60B317B4}"/>
    <cellStyle name="Moneda 90 3 2" xfId="4561" xr:uid="{B147BC09-77D6-45A2-8F21-F35234EEF511}"/>
    <cellStyle name="Moneda 90 3 2 2" xfId="12129" xr:uid="{A41353D4-9FD0-40B3-81A2-F017C6088F18}"/>
    <cellStyle name="Moneda 90 3 3" xfId="9209" xr:uid="{68BB48AF-FFDC-4158-9BE9-0273C865B873}"/>
    <cellStyle name="Moneda 90 4" xfId="1980" xr:uid="{FB698537-8D0C-4CCF-9EDF-5776EB840C2B}"/>
    <cellStyle name="Moneda 90 4 2" xfId="4939" xr:uid="{0E51D13A-158D-4FAD-8537-3D2F0C3B2F79}"/>
    <cellStyle name="Moneda 90 4 2 2" xfId="12507" xr:uid="{4E6B893C-440B-4BEA-99D1-61CFC4A0AA33}"/>
    <cellStyle name="Moneda 90 4 3" xfId="9587" xr:uid="{D07B23AF-97E5-4F40-93DE-299F77C34010}"/>
    <cellStyle name="Moneda 90 5" xfId="3666" xr:uid="{C7FA8189-C514-4532-95ED-BEEAB6817B22}"/>
    <cellStyle name="Moneda 90 5 2" xfId="11234" xr:uid="{A4774D26-124A-4399-A5EA-46CF1E49EA9F}"/>
    <cellStyle name="Moneda 90 6" xfId="8314" xr:uid="{B456A434-3AA3-43B6-BD70-27D51BF4B54B}"/>
    <cellStyle name="Moneda 91" xfId="457" xr:uid="{C9896BFA-DEB6-44DB-A4FB-11486865177E}"/>
    <cellStyle name="Moneda 91 2" xfId="1239" xr:uid="{D093C6ED-C27E-4584-BC3F-CE591D87FB16}"/>
    <cellStyle name="Moneda 91 2 2" xfId="4199" xr:uid="{719B2C16-9E76-4107-B168-3D0D58689663}"/>
    <cellStyle name="Moneda 91 2 2 2" xfId="11767" xr:uid="{861E2EFD-B988-467E-A2D3-8C39AFCC4310}"/>
    <cellStyle name="Moneda 91 2 3" xfId="8847" xr:uid="{A7E70AC5-56C6-46C1-9512-62AE49E8D3D0}"/>
    <cellStyle name="Moneda 91 3" xfId="1603" xr:uid="{E649F392-FB74-43B7-83A8-200A1CB1BC19}"/>
    <cellStyle name="Moneda 91 3 2" xfId="4563" xr:uid="{37860E3E-831D-4610-BFE2-91FE9E02AAFC}"/>
    <cellStyle name="Moneda 91 3 2 2" xfId="12131" xr:uid="{393E23F6-4DC6-4235-9893-F82CCCC9495B}"/>
    <cellStyle name="Moneda 91 3 3" xfId="9211" xr:uid="{3E6DF9DC-14FC-4886-8C4D-E4494C916AF2}"/>
    <cellStyle name="Moneda 91 4" xfId="1982" xr:uid="{495262DA-72A8-492B-B6D3-B66F9C4C8E36}"/>
    <cellStyle name="Moneda 91 4 2" xfId="4941" xr:uid="{45F92A0E-A1E2-4139-9DCF-CE678D122D16}"/>
    <cellStyle name="Moneda 91 4 2 2" xfId="12509" xr:uid="{AB631DBE-56B7-4A4F-9A3D-E79FD5598702}"/>
    <cellStyle name="Moneda 91 4 3" xfId="9589" xr:uid="{80A29EEC-42B3-430F-A954-22B03CABD7C4}"/>
    <cellStyle name="Moneda 91 5" xfId="3668" xr:uid="{CD95AE49-23BB-47C6-87D6-2F554E96C208}"/>
    <cellStyle name="Moneda 91 5 2" xfId="11236" xr:uid="{2DCEEA9B-4C19-4F00-A9F9-81C12B6EEE88}"/>
    <cellStyle name="Moneda 91 6" xfId="8316" xr:uid="{BA4E071E-8CDF-487D-8005-4B54FBE474CE}"/>
    <cellStyle name="Moneda 92" xfId="460" xr:uid="{514CFAAB-79DB-456F-8367-BAB299349EA3}"/>
    <cellStyle name="Moneda 92 2" xfId="1241" xr:uid="{A07B090D-6C7C-4637-9337-8561CFBB4B82}"/>
    <cellStyle name="Moneda 92 2 2" xfId="4201" xr:uid="{42A77DBE-01D6-4FE8-9E9C-A3E61BE544C0}"/>
    <cellStyle name="Moneda 92 2 2 2" xfId="11769" xr:uid="{3C83B04E-34A6-4359-A61C-4F2CCE4F294E}"/>
    <cellStyle name="Moneda 92 2 3" xfId="8849" xr:uid="{82A06829-22AF-4454-B2BF-D604E11B1753}"/>
    <cellStyle name="Moneda 92 3" xfId="1605" xr:uid="{8F7B87F8-605B-4D8A-91C5-569C1EA50C61}"/>
    <cellStyle name="Moneda 92 3 2" xfId="4565" xr:uid="{E2D4A955-FD85-4E5E-857D-536A4FB8D940}"/>
    <cellStyle name="Moneda 92 3 2 2" xfId="12133" xr:uid="{9D98C7B5-C759-4AB7-BD23-7000457AA77F}"/>
    <cellStyle name="Moneda 92 3 3" xfId="9213" xr:uid="{FCDAD8A8-27C6-4A60-9431-1D41EE8502B6}"/>
    <cellStyle name="Moneda 92 4" xfId="1984" xr:uid="{6B2AB03C-D189-49C8-B60B-8E22EA7B5B6F}"/>
    <cellStyle name="Moneda 92 4 2" xfId="4943" xr:uid="{2493D1FF-8B8F-4C29-A4E1-4A6D701C6CEE}"/>
    <cellStyle name="Moneda 92 4 2 2" xfId="12511" xr:uid="{7F541D57-DA66-4F49-B7B8-A5ADCFBAA98B}"/>
    <cellStyle name="Moneda 92 4 3" xfId="9591" xr:uid="{E723CA18-29A1-45E3-8821-AEFBC31DA4E4}"/>
    <cellStyle name="Moneda 92 5" xfId="3670" xr:uid="{78211C7F-01CA-44D1-A4EE-34A56D8C4132}"/>
    <cellStyle name="Moneda 92 5 2" xfId="11238" xr:uid="{80810C7D-7F1D-4FD3-956C-17B3877E950D}"/>
    <cellStyle name="Moneda 92 6" xfId="8318" xr:uid="{5F0B98C2-01EB-427B-947C-6325596B36E3}"/>
    <cellStyle name="Moneda 93" xfId="463" xr:uid="{EF4D7F48-4730-425A-B16C-101955B1EBE9}"/>
    <cellStyle name="Moneda 93 2" xfId="1243" xr:uid="{158B0CD2-55CF-4B0B-96A5-E512216A4C30}"/>
    <cellStyle name="Moneda 93 2 2" xfId="4203" xr:uid="{6518E965-6812-4274-8C08-81F84E6EDE6E}"/>
    <cellStyle name="Moneda 93 2 2 2" xfId="11771" xr:uid="{51A3190F-DD63-48EF-AF6B-E457844F8B66}"/>
    <cellStyle name="Moneda 93 2 3" xfId="8851" xr:uid="{18196E06-0D27-4DE1-B6C1-571155481063}"/>
    <cellStyle name="Moneda 93 3" xfId="1607" xr:uid="{5C337452-F963-49F6-A3E3-7E7A0570B9FE}"/>
    <cellStyle name="Moneda 93 3 2" xfId="4567" xr:uid="{D27D8A81-9A6F-43F5-98E0-0E55A9F04D4F}"/>
    <cellStyle name="Moneda 93 3 2 2" xfId="12135" xr:uid="{0A4F7F6F-7E60-4B3C-912B-FE6A3CE93ABE}"/>
    <cellStyle name="Moneda 93 3 3" xfId="9215" xr:uid="{3839BD1B-7386-421F-AEFC-4C7485D82524}"/>
    <cellStyle name="Moneda 93 4" xfId="1986" xr:uid="{6B9D627A-FAEB-48D6-94D4-75E49B586123}"/>
    <cellStyle name="Moneda 93 4 2" xfId="4945" xr:uid="{CB23221A-F07A-41C5-827A-63AD7505C6F9}"/>
    <cellStyle name="Moneda 93 4 2 2" xfId="12513" xr:uid="{D4D36244-C173-40C0-866C-0A25A825AFE9}"/>
    <cellStyle name="Moneda 93 4 3" xfId="9593" xr:uid="{F444CC22-A76E-4DB6-855B-947FA95F7438}"/>
    <cellStyle name="Moneda 93 5" xfId="3672" xr:uid="{556BDB7D-8A7D-44C4-82D2-98E03862A0AD}"/>
    <cellStyle name="Moneda 93 5 2" xfId="11240" xr:uid="{EEA07F53-AD7F-45E8-AF6A-21FAB5630B85}"/>
    <cellStyle name="Moneda 93 6" xfId="8320" xr:uid="{C5733C76-512D-454D-8A7E-8FB5897A4A41}"/>
    <cellStyle name="Moneda 94" xfId="466" xr:uid="{9AC6ABA7-4B03-4010-A347-ADFB62A81EAE}"/>
    <cellStyle name="Moneda 94 2" xfId="1245" xr:uid="{8CDA9216-4387-4F66-832D-C7B862935D7B}"/>
    <cellStyle name="Moneda 94 2 2" xfId="4205" xr:uid="{6DAD3424-6E6F-47D7-82D7-6B110CADD0B6}"/>
    <cellStyle name="Moneda 94 2 2 2" xfId="11773" xr:uid="{07348FBF-5174-43EE-A460-C204A32DA348}"/>
    <cellStyle name="Moneda 94 2 3" xfId="8853" xr:uid="{578EA774-432D-40C2-A5BE-9512D7CAD276}"/>
    <cellStyle name="Moneda 94 3" xfId="1609" xr:uid="{5B191CF6-80FD-45DB-9BC3-5DF59CED302A}"/>
    <cellStyle name="Moneda 94 3 2" xfId="4569" xr:uid="{F6420F5F-FCCA-4C53-8023-B6AF60E6986E}"/>
    <cellStyle name="Moneda 94 3 2 2" xfId="12137" xr:uid="{DA585031-043A-4651-8927-40DFCCB9A895}"/>
    <cellStyle name="Moneda 94 3 3" xfId="9217" xr:uid="{EF5658C0-F1C2-4DF9-A848-1B06634B26FB}"/>
    <cellStyle name="Moneda 94 4" xfId="1988" xr:uid="{D572AB27-6331-49CA-ADE0-C1B03AFA6860}"/>
    <cellStyle name="Moneda 94 4 2" xfId="4947" xr:uid="{19AD0A75-314E-41C4-9B57-A08C4322EAED}"/>
    <cellStyle name="Moneda 94 4 2 2" xfId="12515" xr:uid="{5BA71543-EEC4-43DC-B72B-9628B4198F80}"/>
    <cellStyle name="Moneda 94 4 3" xfId="9595" xr:uid="{04E2E4DC-0BCE-49B4-9082-53C06A65EC3B}"/>
    <cellStyle name="Moneda 94 5" xfId="3674" xr:uid="{F51609DB-91A8-446D-B185-F77E9656CE0B}"/>
    <cellStyle name="Moneda 94 5 2" xfId="11242" xr:uid="{16756D0C-B2C9-4217-B8C2-BF5738BBADDF}"/>
    <cellStyle name="Moneda 94 6" xfId="8322" xr:uid="{D38954B6-0EE8-48A9-9D61-BB00E249C07D}"/>
    <cellStyle name="Moneda 95" xfId="469" xr:uid="{71638766-35DF-42F1-B2FF-09011F131954}"/>
    <cellStyle name="Moneda 95 2" xfId="1247" xr:uid="{5D4D2C99-3514-4EEE-A844-679EC4CDD272}"/>
    <cellStyle name="Moneda 95 2 2" xfId="4207" xr:uid="{BDD4EF7F-AD00-4699-8E8E-BAD2FF9247FA}"/>
    <cellStyle name="Moneda 95 2 2 2" xfId="11775" xr:uid="{875BB1D6-C4E6-4DA5-ADE1-C1EFF8AF2988}"/>
    <cellStyle name="Moneda 95 2 3" xfId="8855" xr:uid="{445609F3-E8E9-47C2-AED8-FCB317E746AE}"/>
    <cellStyle name="Moneda 95 3" xfId="1611" xr:uid="{9B2C28BF-84F1-4490-AA61-6F91AC502853}"/>
    <cellStyle name="Moneda 95 3 2" xfId="4571" xr:uid="{C5535F22-3727-4DFF-A034-3EA4AAADE34B}"/>
    <cellStyle name="Moneda 95 3 2 2" xfId="12139" xr:uid="{EA5B1F84-7BAA-4898-929A-CDA194F230A3}"/>
    <cellStyle name="Moneda 95 3 3" xfId="9219" xr:uid="{8399F97D-FDF0-4EBA-90E9-920C2D3177D3}"/>
    <cellStyle name="Moneda 95 4" xfId="1990" xr:uid="{70218AF3-9F4C-45CF-8C71-E15E05FB202F}"/>
    <cellStyle name="Moneda 95 4 2" xfId="4949" xr:uid="{F99BB531-0524-4F65-A0A5-0063F7100E03}"/>
    <cellStyle name="Moneda 95 4 2 2" xfId="12517" xr:uid="{61A8E774-04CB-48ED-8D1D-A6C7FED65B6A}"/>
    <cellStyle name="Moneda 95 4 3" xfId="9597" xr:uid="{56F9CAD7-47B1-4953-878D-247014D33E63}"/>
    <cellStyle name="Moneda 95 5" xfId="3676" xr:uid="{72ED4568-A96D-43EA-AC3A-2829B178BCD1}"/>
    <cellStyle name="Moneda 95 5 2" xfId="11244" xr:uid="{5251A56F-BF97-4253-910E-4AD4FD83D25F}"/>
    <cellStyle name="Moneda 95 6" xfId="8324" xr:uid="{6F269B37-4508-4CB0-8E5D-261AAF2E457F}"/>
    <cellStyle name="Moneda 96" xfId="472" xr:uid="{A89C14D0-79BF-48FE-9060-D6CFB66A4D96}"/>
    <cellStyle name="Moneda 96 2" xfId="1249" xr:uid="{C0E31DE2-DD08-441D-80C0-B9D652A7B57A}"/>
    <cellStyle name="Moneda 96 2 2" xfId="4209" xr:uid="{556A3333-33F3-44D1-8996-97EC560316D7}"/>
    <cellStyle name="Moneda 96 2 2 2" xfId="11777" xr:uid="{7ADA9965-C98C-433A-BA24-4C22246609FE}"/>
    <cellStyle name="Moneda 96 2 3" xfId="8857" xr:uid="{90DE30DD-A151-4248-B3EC-A067EDBB474F}"/>
    <cellStyle name="Moneda 96 3" xfId="1613" xr:uid="{73F4DC43-9D28-4239-8210-7FC7BDFB5081}"/>
    <cellStyle name="Moneda 96 3 2" xfId="4573" xr:uid="{390ADB15-CB53-4E6C-B2F1-AC25F0A0F13A}"/>
    <cellStyle name="Moneda 96 3 2 2" xfId="12141" xr:uid="{5A2E0354-2593-4312-BC55-E4291E09A567}"/>
    <cellStyle name="Moneda 96 3 3" xfId="9221" xr:uid="{DE4BFCA6-247D-47FA-8222-2B5D69E9040C}"/>
    <cellStyle name="Moneda 96 4" xfId="1992" xr:uid="{5FEC9774-E8B9-4221-B1C8-AB1E667FA9C1}"/>
    <cellStyle name="Moneda 96 4 2" xfId="4951" xr:uid="{695E4AF1-2903-474B-9A47-106A02F2BC6C}"/>
    <cellStyle name="Moneda 96 4 2 2" xfId="12519" xr:uid="{1CEAB4D4-3C4D-436F-B8AF-B458EB0CBFB9}"/>
    <cellStyle name="Moneda 96 4 3" xfId="9599" xr:uid="{ED21F459-C87B-4E19-B9E4-BC262AA395BA}"/>
    <cellStyle name="Moneda 96 5" xfId="3678" xr:uid="{F9AEEF2B-3FA6-4E3F-BA80-D56D352649C8}"/>
    <cellStyle name="Moneda 96 5 2" xfId="11246" xr:uid="{EB75BBFB-8944-4482-BEB9-1E61435C9AFE}"/>
    <cellStyle name="Moneda 96 6" xfId="8326" xr:uid="{9FC27C73-9395-4E41-AE0A-96E62DFA5506}"/>
    <cellStyle name="Moneda 97" xfId="475" xr:uid="{12F4B8EE-AFA6-4FE4-9A4C-9D7E2111555F}"/>
    <cellStyle name="Moneda 97 2" xfId="1251" xr:uid="{E96B607A-0135-4E14-BCA9-EEE2DA9FFB6D}"/>
    <cellStyle name="Moneda 97 2 2" xfId="4211" xr:uid="{A453BC9A-10CE-4E4E-BA84-1CB74009725E}"/>
    <cellStyle name="Moneda 97 2 2 2" xfId="11779" xr:uid="{F23627DA-FE58-4997-B947-1BDB1C0AFAA9}"/>
    <cellStyle name="Moneda 97 2 3" xfId="8859" xr:uid="{2C466AEC-B73B-485B-8A4B-D35DF6DEE8D4}"/>
    <cellStyle name="Moneda 97 3" xfId="1615" xr:uid="{A7F99449-5870-46BD-812E-3407EF93F2DB}"/>
    <cellStyle name="Moneda 97 3 2" xfId="4575" xr:uid="{CC01E419-A3D5-40D5-96D1-70E641189E61}"/>
    <cellStyle name="Moneda 97 3 2 2" xfId="12143" xr:uid="{31D4E41C-5F41-486D-8434-909D0A9F5BD6}"/>
    <cellStyle name="Moneda 97 3 3" xfId="9223" xr:uid="{7AA2A477-8E0E-4BE6-92A3-4DDE6EB29A3F}"/>
    <cellStyle name="Moneda 97 4" xfId="1994" xr:uid="{2A1504F5-DFBC-49B0-8C2E-8D78D9AAF3CE}"/>
    <cellStyle name="Moneda 97 4 2" xfId="4953" xr:uid="{3AF0DBBD-8E41-4ADA-A0E8-9B7892F9E189}"/>
    <cellStyle name="Moneda 97 4 2 2" xfId="12521" xr:uid="{AD5FCFD4-3241-4AB6-825D-8364ABB3EEE7}"/>
    <cellStyle name="Moneda 97 4 3" xfId="9601" xr:uid="{369D9861-00E4-42C5-877C-F1D13E492387}"/>
    <cellStyle name="Moneda 97 5" xfId="3680" xr:uid="{29658381-65BD-40E9-935F-2E879AA803A1}"/>
    <cellStyle name="Moneda 97 5 2" xfId="11248" xr:uid="{51B718A6-D370-4237-A91E-63A333CCDF90}"/>
    <cellStyle name="Moneda 97 6" xfId="8328" xr:uid="{C59175C4-ADC8-4585-8A12-E5CCEACFDABF}"/>
    <cellStyle name="Moneda 98" xfId="478" xr:uid="{95D7E3BD-EF49-4523-84C1-F5035F31C4A8}"/>
    <cellStyle name="Moneda 98 2" xfId="1253" xr:uid="{E19F71CD-D855-4AA6-9769-E47D721942C1}"/>
    <cellStyle name="Moneda 98 2 2" xfId="4213" xr:uid="{3FCAD570-B0FE-4A99-8811-B2E9E393302C}"/>
    <cellStyle name="Moneda 98 2 2 2" xfId="11781" xr:uid="{06CFA0DA-96C4-48E9-92FD-89CB0A491781}"/>
    <cellStyle name="Moneda 98 2 3" xfId="8861" xr:uid="{1864477E-6117-468F-BF0B-A4688C7426D2}"/>
    <cellStyle name="Moneda 98 3" xfId="1617" xr:uid="{162DCC70-8BA3-4AAE-8DF1-ECDF30DACCAF}"/>
    <cellStyle name="Moneda 98 3 2" xfId="4577" xr:uid="{26998022-0A6C-4945-A7C9-A7DD755C7477}"/>
    <cellStyle name="Moneda 98 3 2 2" xfId="12145" xr:uid="{A3B117F1-2E15-429B-9564-5DB2C89D422F}"/>
    <cellStyle name="Moneda 98 3 3" xfId="9225" xr:uid="{31BC141C-9987-4B4B-99DE-5F90DA82BE79}"/>
    <cellStyle name="Moneda 98 4" xfId="1996" xr:uid="{96D374C1-D710-454F-ACDC-1AA48BF1003D}"/>
    <cellStyle name="Moneda 98 4 2" xfId="4955" xr:uid="{FC254B1B-5BC1-430C-9534-843B88315AC2}"/>
    <cellStyle name="Moneda 98 4 2 2" xfId="12523" xr:uid="{EDD2C61E-83EC-48E9-B255-AF48CFA00D7A}"/>
    <cellStyle name="Moneda 98 4 3" xfId="9603" xr:uid="{00E86772-F5DA-4D9D-B11E-942283CD43BF}"/>
    <cellStyle name="Moneda 98 5" xfId="3682" xr:uid="{7EEC86B6-1A8D-40E9-8CEB-18B3B88EFBFF}"/>
    <cellStyle name="Moneda 98 5 2" xfId="11250" xr:uid="{0E8BD8C5-30C5-4416-BF7E-D55A489C307B}"/>
    <cellStyle name="Moneda 98 6" xfId="8330" xr:uid="{6C1D452B-CFD9-4F58-88F0-70A842FCFA13}"/>
    <cellStyle name="Moneda 99" xfId="481" xr:uid="{553B8EFF-3B84-4737-86BF-31DCE7BEB9E9}"/>
    <cellStyle name="Moneda 99 2" xfId="1255" xr:uid="{299553F0-920A-4517-9C45-F729A7E85948}"/>
    <cellStyle name="Moneda 99 2 2" xfId="4215" xr:uid="{9A0C5B8B-215A-43FB-866F-FD44BAB3061B}"/>
    <cellStyle name="Moneda 99 2 2 2" xfId="11783" xr:uid="{95438A90-7678-4A6F-995D-EBDEE63244F4}"/>
    <cellStyle name="Moneda 99 2 3" xfId="8863" xr:uid="{EBDA6E45-976C-4058-A336-5AC860AA4F79}"/>
    <cellStyle name="Moneda 99 3" xfId="1619" xr:uid="{1476F7E3-B1E8-488B-AF0A-6CAD67E297ED}"/>
    <cellStyle name="Moneda 99 3 2" xfId="4579" xr:uid="{5E1AC204-7DAD-4F70-BD23-1F2EDC5E40AF}"/>
    <cellStyle name="Moneda 99 3 2 2" xfId="12147" xr:uid="{FB8EB18A-7853-4387-BC60-873D22391C37}"/>
    <cellStyle name="Moneda 99 3 3" xfId="9227" xr:uid="{15E6B12F-65DA-49C6-8821-09B99B9124E2}"/>
    <cellStyle name="Moneda 99 4" xfId="1998" xr:uid="{84CF0AC2-1F22-463E-82D5-81DFE4BD54B8}"/>
    <cellStyle name="Moneda 99 4 2" xfId="4957" xr:uid="{20F2D77A-45AA-4938-9E37-674A47DF4190}"/>
    <cellStyle name="Moneda 99 4 2 2" xfId="12525" xr:uid="{99A8B9F3-70AC-4BE2-B319-3BAA527E4797}"/>
    <cellStyle name="Moneda 99 4 3" xfId="9605" xr:uid="{D91B8FEE-5958-4D5E-AF45-EC46CA01E7B6}"/>
    <cellStyle name="Moneda 99 5" xfId="3684" xr:uid="{3079DFAE-37F1-4095-BF79-E34906C5E90F}"/>
    <cellStyle name="Moneda 99 5 2" xfId="11252" xr:uid="{595988E5-D5E7-4A41-B249-CA249B28066F}"/>
    <cellStyle name="Moneda 99 6" xfId="8332" xr:uid="{DA007D2D-01AB-4279-AE46-7780FCF38A11}"/>
    <cellStyle name="Neutral" xfId="124" builtinId="28" customBuiltin="1"/>
    <cellStyle name="Neutral 2" xfId="71" xr:uid="{00000000-0005-0000-0000-000064000000}"/>
    <cellStyle name="Normal" xfId="0" builtinId="0"/>
    <cellStyle name="Normal 10" xfId="207" xr:uid="{A742CED3-E87C-4766-AB96-9451FDA79671}"/>
    <cellStyle name="Normal 10 2" xfId="1010" xr:uid="{F579226A-C0AD-41A7-88FD-263BD8B9D9A6}"/>
    <cellStyle name="Normal 100" xfId="473" xr:uid="{2201F50C-D2B0-4E35-9AA7-E5EF152F4996}"/>
    <cellStyle name="Normal 101" xfId="476" xr:uid="{D13A6494-EF76-442D-9134-B98255FD8783}"/>
    <cellStyle name="Normal 102" xfId="479" xr:uid="{09B3C4CF-6D44-457C-8221-D9852E58C3AE}"/>
    <cellStyle name="Normal 103" xfId="482" xr:uid="{CFA15C90-B3CE-4C44-B2C0-67DE3ABB9B56}"/>
    <cellStyle name="Normal 104" xfId="485" xr:uid="{A388EFCD-25AB-4E16-9BB5-C6B75C0C142D}"/>
    <cellStyle name="Normal 105" xfId="488" xr:uid="{6FEC1609-410E-4ACC-A1C0-FEA0D6CE1E5D}"/>
    <cellStyle name="Normal 106" xfId="491" xr:uid="{FEE1B286-0675-4D5F-9EB1-660973C6470E}"/>
    <cellStyle name="Normal 107" xfId="494" xr:uid="{87461513-C062-4807-B782-D831AB1108C0}"/>
    <cellStyle name="Normal 108" xfId="497" xr:uid="{994C26CB-A71A-4CA6-B98A-F72245A0642F}"/>
    <cellStyle name="Normal 109" xfId="500" xr:uid="{4D367327-3165-4A5D-9615-8E84B023A07D}"/>
    <cellStyle name="Normal 11" xfId="209" xr:uid="{F407AA55-4E59-4923-A046-CB10F73EE351}"/>
    <cellStyle name="Normal 11 2" xfId="1037" xr:uid="{C449D517-5B95-42AD-8228-CFB186B7A04C}"/>
    <cellStyle name="Normal 11 2 2" xfId="2810" xr:uid="{661AA84E-9689-4A52-8D6A-4506C909EE63}"/>
    <cellStyle name="Normal 11 3" xfId="2565" xr:uid="{8FF9F6F0-12B4-4293-B4E6-A4DD3FECF316}"/>
    <cellStyle name="Normal 110" xfId="503" xr:uid="{A2786B73-C633-4149-A1B4-F5AEB6987545}"/>
    <cellStyle name="Normal 111" xfId="187" xr:uid="{3664EA9A-D205-4B7E-818B-15ACBF195872}"/>
    <cellStyle name="Normal 111 2" xfId="506" xr:uid="{9BD48FCA-6B30-445F-9F3A-837E6B4DEDD0}"/>
    <cellStyle name="Normal 112" xfId="510" xr:uid="{D3A28C38-6C39-44E1-A944-323F31A61C93}"/>
    <cellStyle name="Normal 113" xfId="513" xr:uid="{F5ABDD58-262C-411C-AE74-7DA0F5A6AB8D}"/>
    <cellStyle name="Normal 114" xfId="516" xr:uid="{3CB6B487-76FD-485A-80C7-3A95C771886D}"/>
    <cellStyle name="Normal 115" xfId="519" xr:uid="{61903B07-5835-49BF-B559-77AAE43508FB}"/>
    <cellStyle name="Normal 116" xfId="522" xr:uid="{C06677FD-EA8A-46A8-A893-A1906CB74DDB}"/>
    <cellStyle name="Normal 117" xfId="525" xr:uid="{B5FD18DE-AFAC-406D-86AE-2827FB10D6F6}"/>
    <cellStyle name="Normal 118" xfId="528" xr:uid="{03961686-50FE-4694-8CC3-28DF0D5462B2}"/>
    <cellStyle name="Normal 119" xfId="531" xr:uid="{2D62F866-9BB3-416E-9C29-09F2716D0BBE}"/>
    <cellStyle name="Normal 12" xfId="211" xr:uid="{1921622E-5287-40C7-A9E4-0E7024E9E699}"/>
    <cellStyle name="Normal 12 2" xfId="1030" xr:uid="{56F444AC-3590-4FB0-8256-C8462A5EE5FA}"/>
    <cellStyle name="Normal 12 3" xfId="3311" xr:uid="{80AF9AC9-CC03-45CE-8307-C4C00D8257AF}"/>
    <cellStyle name="Normal 120" xfId="534" xr:uid="{363B9A47-F9DD-4408-9759-69379EA1B37E}"/>
    <cellStyle name="Normal 121" xfId="537" xr:uid="{D8897E30-D376-46B8-899E-A3C287B82099}"/>
    <cellStyle name="Normal 122" xfId="540" xr:uid="{245AE2A8-A4EC-4CE4-8A8F-81F392DA26C5}"/>
    <cellStyle name="Normal 123" xfId="543" xr:uid="{C7F67D7E-8124-485C-8472-F3EF30FAC98D}"/>
    <cellStyle name="Normal 124" xfId="546" xr:uid="{D2E09667-018B-4FBC-B2B3-4F984365B7A7}"/>
    <cellStyle name="Normal 125" xfId="549" xr:uid="{6422CD1D-BC40-418E-95EF-4190E6CB8595}"/>
    <cellStyle name="Normal 126" xfId="552" xr:uid="{6562962E-6615-4478-B708-68B2D9C154DC}"/>
    <cellStyle name="Normal 127" xfId="555" xr:uid="{92D2341D-ECFB-471F-979B-A85C4D95E6F1}"/>
    <cellStyle name="Normal 128" xfId="558" xr:uid="{2C2AD89A-547F-4794-8FF1-859BE73954F1}"/>
    <cellStyle name="Normal 129" xfId="561" xr:uid="{D0260765-D627-4F60-926C-C56B81163B99}"/>
    <cellStyle name="Normal 13" xfId="213" xr:uid="{B8410E0D-B8D0-450C-BEC8-5D33765DA35C}"/>
    <cellStyle name="Normal 13 2" xfId="991" xr:uid="{DC7506E9-AA82-4571-BB19-99F7CEBF34DC}"/>
    <cellStyle name="Normal 13 2 2" xfId="6709" xr:uid="{0D3FEE5B-063E-4EB4-A449-420231EBE711}"/>
    <cellStyle name="Normal 13 3" xfId="3313" xr:uid="{E449FB78-7753-4D94-BDF6-486853EFF980}"/>
    <cellStyle name="Normal 13 4" xfId="3457" xr:uid="{AA107754-5591-4238-A2B5-0579695A237E}"/>
    <cellStyle name="Normal 130" xfId="564" xr:uid="{6D13361E-9D8B-425F-A265-4B4AB1C92828}"/>
    <cellStyle name="Normal 131" xfId="567" xr:uid="{44542FE3-C639-4AA1-8F95-A4E016038260}"/>
    <cellStyle name="Normal 132" xfId="570" xr:uid="{F468AF99-BA11-49D4-96AE-91E28D0F7FF7}"/>
    <cellStyle name="Normal 133" xfId="573" xr:uid="{68934F67-BD83-4D03-A07C-451C1C8C226F}"/>
    <cellStyle name="Normal 134" xfId="576" xr:uid="{A2101EE4-D893-4BA4-A781-E9542071B440}"/>
    <cellStyle name="Normal 135" xfId="579" xr:uid="{88A41ED0-09AB-4F60-805A-F069FD83D3D6}"/>
    <cellStyle name="Normal 136" xfId="582" xr:uid="{C5C3D678-3B83-4F22-82E0-7B6E82D2E65A}"/>
    <cellStyle name="Normal 137" xfId="585" xr:uid="{DD16DFC9-E64F-4F71-A9AA-340A7F66442D}"/>
    <cellStyle name="Normal 138" xfId="588" xr:uid="{36380A32-1E84-48F7-8D86-7C2E7CA023D9}"/>
    <cellStyle name="Normal 139" xfId="591" xr:uid="{3D95803F-61DB-4673-8A2D-28C508C767E8}"/>
    <cellStyle name="Normal 14" xfId="215" xr:uid="{8AFA2348-FCB1-48B3-8B27-C3133271F3F0}"/>
    <cellStyle name="Normal 14 2" xfId="1015" xr:uid="{93A96013-40ED-4754-A1D2-5A80CAB66673}"/>
    <cellStyle name="Normal 14 3" xfId="6710" xr:uid="{6430659B-4DC2-43A7-B136-2CB1BF92ED71}"/>
    <cellStyle name="Normal 140" xfId="594" xr:uid="{FBE6D7FD-B5C2-4011-B505-CE34790CCCDD}"/>
    <cellStyle name="Normal 141" xfId="597" xr:uid="{1ABCBC57-C902-426C-882F-1E648CDC21A7}"/>
    <cellStyle name="Normal 142" xfId="600" xr:uid="{EE277776-DBCE-4284-B4AA-2738E05FC5E5}"/>
    <cellStyle name="Normal 143" xfId="603" xr:uid="{E18647CF-BF04-4208-8130-2355CFA2B384}"/>
    <cellStyle name="Normal 144" xfId="606" xr:uid="{ACBAABD3-A49A-4C3E-9B64-AE5D8570929F}"/>
    <cellStyle name="Normal 145" xfId="609" xr:uid="{24467F46-CF96-4A14-B341-3D7A39153F66}"/>
    <cellStyle name="Normal 146" xfId="612" xr:uid="{5C2D205F-1D06-4D27-8609-E7C76CF4F890}"/>
    <cellStyle name="Normal 147" xfId="615" xr:uid="{1C882C99-9E73-4BA6-845D-11DB5579F7FE}"/>
    <cellStyle name="Normal 148" xfId="618" xr:uid="{53F36B4E-BC7D-4814-A299-42FEF244A6C1}"/>
    <cellStyle name="Normal 149" xfId="621" xr:uid="{550AE9FA-E523-43FE-BB12-67EAEB833BED}"/>
    <cellStyle name="Normal 15" xfId="218" xr:uid="{0C6A4F71-73A4-4BA7-9AF4-4D6F4A71FC3A}"/>
    <cellStyle name="Normal 15 2" xfId="1026" xr:uid="{FEFC758D-10F6-451B-A2ED-E71BFD4A27F8}"/>
    <cellStyle name="Normal 15 3" xfId="6711" xr:uid="{06FA6E08-E726-43E6-8E64-450723BFF60E}"/>
    <cellStyle name="Normal 150" xfId="624" xr:uid="{5B513EB8-6FFB-4025-ABB9-0CDA825C2059}"/>
    <cellStyle name="Normal 151" xfId="627" xr:uid="{AD36BCF7-A457-480B-A3C4-22DAED808019}"/>
    <cellStyle name="Normal 152" xfId="630" xr:uid="{76C47AC6-539F-4015-B2C9-4916AAB53499}"/>
    <cellStyle name="Normal 153" xfId="633" xr:uid="{958A0050-1228-4C05-B406-A0E765E97006}"/>
    <cellStyle name="Normal 154" xfId="636" xr:uid="{79E5E4F6-6DC1-4C69-8F71-0D42AB67893D}"/>
    <cellStyle name="Normal 155" xfId="639" xr:uid="{1502B768-8D08-41A6-BA69-ADF32794DF8A}"/>
    <cellStyle name="Normal 156" xfId="642" xr:uid="{2F310F7C-7B10-49DB-82AE-2745F43944D9}"/>
    <cellStyle name="Normal 157" xfId="645" xr:uid="{D5B9C7C3-25E1-46FF-A1E2-5B6289BBFCBD}"/>
    <cellStyle name="Normal 158" xfId="648" xr:uid="{CB052F43-754E-4F0A-806D-57C12AE1D4A5}"/>
    <cellStyle name="Normal 159" xfId="651" xr:uid="{A163975E-CA2E-4B62-8FB5-A96ED920C1FE}"/>
    <cellStyle name="Normal 16" xfId="221" xr:uid="{6EEE0C10-3F94-4C81-B46D-04F407FD6925}"/>
    <cellStyle name="Normal 16 2" xfId="944" xr:uid="{14E08E26-3894-4CDA-9185-81AF0C7FBE5A}"/>
    <cellStyle name="Normal 16 3" xfId="6712" xr:uid="{1C9D56D5-D5E9-4DCD-B168-3408101291EA}"/>
    <cellStyle name="Normal 160" xfId="654" xr:uid="{06E56E77-E4DA-404B-8DD3-8CA5D6106E4B}"/>
    <cellStyle name="Normal 161" xfId="657" xr:uid="{BB0BD08B-65AE-47A6-81EF-C26996D624D5}"/>
    <cellStyle name="Normal 162" xfId="660" xr:uid="{2549E55F-9927-4BE0-AB1F-94EF04CB4D1B}"/>
    <cellStyle name="Normal 163" xfId="663" xr:uid="{3F514C1D-31A9-43D3-A3AF-A8A2592F4968}"/>
    <cellStyle name="Normal 164" xfId="666" xr:uid="{53909CD2-336A-4B07-BCE3-1CD86C1A932F}"/>
    <cellStyle name="Normal 165" xfId="669" xr:uid="{AA8B33E7-20BA-43E7-A040-1F85974A4FFE}"/>
    <cellStyle name="Normal 166" xfId="672" xr:uid="{8AF66F53-4E8B-45A8-A6DE-F095998CF9C7}"/>
    <cellStyle name="Normal 166 2" xfId="975" xr:uid="{FD91C52C-6792-460B-AD88-EEF266F89B41}"/>
    <cellStyle name="Normal 167" xfId="675" xr:uid="{1AEC5874-8737-43D1-80B6-1367B3A9F591}"/>
    <cellStyle name="Normal 168" xfId="678" xr:uid="{58B54951-B3D8-4D48-90EF-0BCD93BFBDA9}"/>
    <cellStyle name="Normal 169" xfId="681" xr:uid="{B3A8AE09-D440-40BD-A2CE-9D9BAEC2A8A6}"/>
    <cellStyle name="Normal 17" xfId="224" xr:uid="{A430BD28-1278-4D48-86A2-D861CBE4D322}"/>
    <cellStyle name="Normal 17 2" xfId="989" xr:uid="{809B3DEA-BC7C-4FC5-AE19-10BA0E1CDEB8}"/>
    <cellStyle name="Normal 17 3" xfId="6713" xr:uid="{1AFAEDFD-103E-4075-8BE9-F3715BD7A427}"/>
    <cellStyle name="Normal 170" xfId="684" xr:uid="{67F85E68-0316-40C2-BFC7-BDF715C0715E}"/>
    <cellStyle name="Normal 171" xfId="687" xr:uid="{091AAAF2-98FD-4BC3-BCFF-C9A8E127997A}"/>
    <cellStyle name="Normal 172" xfId="690" xr:uid="{0836333E-903F-4B95-BD34-6617DE58922D}"/>
    <cellStyle name="Normal 173" xfId="693" xr:uid="{B4BEE7C3-205F-48F6-8BB3-9B206CA0C88B}"/>
    <cellStyle name="Normal 174" xfId="696" xr:uid="{5F28FAF6-A8D3-4D12-AFA5-7C8A6F69A92E}"/>
    <cellStyle name="Normal 175" xfId="699" xr:uid="{C59C5EF7-ABD2-4631-AC8C-6A3154079C7B}"/>
    <cellStyle name="Normal 176" xfId="702" xr:uid="{9E66F6A9-88E2-4BB8-BAE8-83D37AEFB722}"/>
    <cellStyle name="Normal 177" xfId="705" xr:uid="{FFC5E2E3-C707-4A6F-8BEA-C6162E955B1C}"/>
    <cellStyle name="Normal 178" xfId="708" xr:uid="{59876019-DE41-4664-A245-51F1B72E7667}"/>
    <cellStyle name="Normal 179" xfId="711" xr:uid="{41DE9981-6170-4274-B760-5ED247CC32FF}"/>
    <cellStyle name="Normal 18" xfId="227" xr:uid="{2528233D-2FE3-4E0C-99A3-92182C0A6EFD}"/>
    <cellStyle name="Normal 18 2" xfId="925" xr:uid="{F64AC973-9C64-469B-8A61-AC24BA92082F}"/>
    <cellStyle name="Normal 18 3" xfId="6714" xr:uid="{EC26910E-A108-4699-B427-CFCEC0256B56}"/>
    <cellStyle name="Normal 180" xfId="714" xr:uid="{921BD187-C990-42F5-9EFD-225B156E7A05}"/>
    <cellStyle name="Normal 181" xfId="717" xr:uid="{20AE98E6-87EE-4C74-B7A9-4A405507E058}"/>
    <cellStyle name="Normal 182" xfId="720" xr:uid="{BE3AB63B-C933-428A-8D2F-B827B27CF609}"/>
    <cellStyle name="Normal 183" xfId="723" xr:uid="{13D07AF3-C5C1-4D98-8177-143285358A5B}"/>
    <cellStyle name="Normal 184" xfId="726" xr:uid="{9DD71FDA-2A25-4C3B-8255-0E57E090958A}"/>
    <cellStyle name="Normal 185" xfId="729" xr:uid="{16BCE407-8F12-41B9-A71A-746CCE6BD53F}"/>
    <cellStyle name="Normal 186" xfId="732" xr:uid="{36B2B1CF-DDEE-43BE-92E0-933ECFBC52E7}"/>
    <cellStyle name="Normal 187" xfId="735" xr:uid="{37A3AA8D-6EB9-431F-A44D-50E6CF4FAA4A}"/>
    <cellStyle name="Normal 188" xfId="738" xr:uid="{8A1AAF86-440F-42D5-9A14-F5E1013FC0C9}"/>
    <cellStyle name="Normal 189" xfId="741" xr:uid="{13ACCA3D-D637-47A3-A2E3-2267342B400F}"/>
    <cellStyle name="Normal 19" xfId="230" xr:uid="{00F3B99F-C8F6-4FD5-A309-DC709FE12233}"/>
    <cellStyle name="Normal 19 2" xfId="1027" xr:uid="{637BF849-5517-41AA-BF57-C0B595BB0B17}"/>
    <cellStyle name="Normal 19 3" xfId="6715" xr:uid="{41600B9E-8AE4-47ED-ABAE-C2CCEB7B4737}"/>
    <cellStyle name="Normal 190" xfId="744" xr:uid="{D4D793B0-D143-4BAF-8AB5-1956B4807588}"/>
    <cellStyle name="Normal 191" xfId="747" xr:uid="{8C16FD8E-B273-4761-9DF7-454D22DF4241}"/>
    <cellStyle name="Normal 192" xfId="750" xr:uid="{8A0690A1-0A01-45D7-8A37-81BCD5EB3D64}"/>
    <cellStyle name="Normal 193" xfId="753" xr:uid="{87A13FC6-F1D3-479C-8D15-182572C1D925}"/>
    <cellStyle name="Normal 194" xfId="756" xr:uid="{90050CF5-E0A4-4067-96CA-93F3CB70F1D0}"/>
    <cellStyle name="Normal 195" xfId="759" xr:uid="{B17E11C1-D648-4921-9556-97AD767B5B37}"/>
    <cellStyle name="Normal 196" xfId="762" xr:uid="{6A6515B4-8180-40D9-9E73-4F95C5537B52}"/>
    <cellStyle name="Normal 197" xfId="765" xr:uid="{8BAD05BB-1D1D-49C8-8488-39C56834FABE}"/>
    <cellStyle name="Normal 198" xfId="768" xr:uid="{A397EEEB-3400-4C90-BE09-8D1565A36D76}"/>
    <cellStyle name="Normal 199" xfId="771" xr:uid="{4B118631-7E4E-4FA9-A8D8-6D89B5D28208}"/>
    <cellStyle name="Normal 2" xfId="26" xr:uid="{00000000-0005-0000-0000-000066000000}"/>
    <cellStyle name="Normal 2 2" xfId="175" xr:uid="{4AF63346-1B0A-442B-B91E-711E92F584A5}"/>
    <cellStyle name="Normal 2 2 2" xfId="2363" xr:uid="{012B8046-19FF-4898-B5E5-787721B96512}"/>
    <cellStyle name="Normal 2 3" xfId="179" xr:uid="{0BDD586D-9B4F-445C-A470-4C4D8B300A01}"/>
    <cellStyle name="Normal 2 3 2" xfId="2446" xr:uid="{A1DBA2A7-8720-4BFA-8A5A-AFFB6C603DFA}"/>
    <cellStyle name="Normal 2 3 3" xfId="8112" xr:uid="{4811CCDA-A008-46D2-B0F1-30F239074858}"/>
    <cellStyle name="Normal 2 4" xfId="2309" xr:uid="{ABBC6A8E-FE7F-4538-AF9C-92BC64147F97}"/>
    <cellStyle name="Normal 2 4 2" xfId="6450" xr:uid="{3E0A8929-6B99-492F-A719-800DAE3ABF3F}"/>
    <cellStyle name="Normal 2 5" xfId="6575" xr:uid="{A00B3005-BDF6-47D3-BEBB-699D4D40C9C4}"/>
    <cellStyle name="Normal 2 6" xfId="162" xr:uid="{B296ACD0-6BBE-44CB-A3DB-63E102462E1F}"/>
    <cellStyle name="Normal 20" xfId="233" xr:uid="{F41E636D-A097-4402-9B0B-1AFAF2C86090}"/>
    <cellStyle name="Normal 20 2" xfId="1031" xr:uid="{573F7529-EEB2-48BD-8C89-3F0D2BF93355}"/>
    <cellStyle name="Normal 20 3" xfId="6443" xr:uid="{AB95E4E0-102A-45C1-9DB6-DED6E23FB88F}"/>
    <cellStyle name="Normal 200" xfId="774" xr:uid="{F1E28272-FDFA-4C31-BC1D-EFA880B30E39}"/>
    <cellStyle name="Normal 201" xfId="777" xr:uid="{7C3D73B7-E4AD-4619-BF7A-665FA3BC5D96}"/>
    <cellStyle name="Normal 202" xfId="780" xr:uid="{83911883-7A8C-4276-B5B9-8217926B576A}"/>
    <cellStyle name="Normal 203" xfId="783" xr:uid="{82452FD8-9E19-4921-9852-41A662C14799}"/>
    <cellStyle name="Normal 204" xfId="786" xr:uid="{EFD8BA3E-ACFC-4F54-AA5A-F8EA6381D203}"/>
    <cellStyle name="Normal 205" xfId="789" xr:uid="{EC976930-ED86-4F8D-9467-340BE8199D46}"/>
    <cellStyle name="Normal 206" xfId="792" xr:uid="{C492CB62-B1FD-4057-99E8-E017E89B3D04}"/>
    <cellStyle name="Normal 207" xfId="795" xr:uid="{02CA5C7C-E9AD-4363-9C0C-2CC0E881B791}"/>
    <cellStyle name="Normal 208" xfId="798" xr:uid="{44BB8C6A-2024-49A4-938F-EFC5ADBABAB2}"/>
    <cellStyle name="Normal 209" xfId="801" xr:uid="{ABD33F19-863B-45F7-BF48-ADC777316708}"/>
    <cellStyle name="Normal 21" xfId="236" xr:uid="{7D73C2B4-1655-4E70-93F7-FFA1B8AF4DD8}"/>
    <cellStyle name="Normal 21 2" xfId="1020" xr:uid="{43319427-264A-4E02-90BF-C80DF450BD72}"/>
    <cellStyle name="Normal 210" xfId="804" xr:uid="{8295ED9E-69FF-4832-8B1D-7493B45616F2}"/>
    <cellStyle name="Normal 211" xfId="807" xr:uid="{76D29EC2-DB5E-4D4B-9637-2C59D7DA88E6}"/>
    <cellStyle name="Normal 212" xfId="810" xr:uid="{70A56C25-8CFB-466C-948A-70606C66161C}"/>
    <cellStyle name="Normal 213" xfId="813" xr:uid="{D282F384-A26C-4EF3-991A-B807539ACD92}"/>
    <cellStyle name="Normal 214" xfId="816" xr:uid="{A9B07AF7-CF9B-4B25-AF40-E2A110B11559}"/>
    <cellStyle name="Normal 215" xfId="819" xr:uid="{01E4D455-D485-4E1C-9096-EB731433C114}"/>
    <cellStyle name="Normal 216" xfId="822" xr:uid="{E41157FB-2507-49E5-958E-8BCE8A146056}"/>
    <cellStyle name="Normal 217" xfId="825" xr:uid="{5FA83CEC-FDCA-4D43-B2CA-4483B257612E}"/>
    <cellStyle name="Normal 218" xfId="828" xr:uid="{EDD51BF9-4B36-4F3B-9AC1-8066302845CB}"/>
    <cellStyle name="Normal 219" xfId="831" xr:uid="{143A7028-C834-40DE-AB24-A1D82C30B02A}"/>
    <cellStyle name="Normal 22" xfId="239" xr:uid="{14D8B4DE-B7D9-48F4-85B1-298C6CC9C8DF}"/>
    <cellStyle name="Normal 22 2" xfId="980" xr:uid="{A8AE1724-6FD5-4207-AFC3-0B82291EEEF6}"/>
    <cellStyle name="Normal 220" xfId="834" xr:uid="{659ECF59-24C7-43E2-994C-E6C6E3082883}"/>
    <cellStyle name="Normal 221" xfId="837" xr:uid="{963E1374-A26C-44FF-8A73-24ABADBA34D5}"/>
    <cellStyle name="Normal 222" xfId="840" xr:uid="{8BD27138-125D-4FAF-87C2-0036AB62E000}"/>
    <cellStyle name="Normal 223" xfId="843" xr:uid="{4F85C4A9-C782-423D-8BED-5C64A5EF8493}"/>
    <cellStyle name="Normal 224" xfId="846" xr:uid="{D37A4AD9-427E-41A5-BBA0-361EF90C6F90}"/>
    <cellStyle name="Normal 225" xfId="849" xr:uid="{3F679919-898D-46D8-BDC9-F03CE9E38A2F}"/>
    <cellStyle name="Normal 226" xfId="852" xr:uid="{81B73B24-5A62-4227-AE24-62B5C14CECC0}"/>
    <cellStyle name="Normal 227" xfId="855" xr:uid="{2B7CD41E-C9FD-4DF5-BA3D-3DD5D081D630}"/>
    <cellStyle name="Normal 228" xfId="858" xr:uid="{0FF946D0-733B-4873-938C-6E5BD9E6F72D}"/>
    <cellStyle name="Normal 229" xfId="861" xr:uid="{1AB48892-FBA6-40BA-A48A-A97A9E117397}"/>
    <cellStyle name="Normal 23" xfId="242" xr:uid="{3EFD0628-18B5-4AA6-94BD-6A4B2F4675C5}"/>
    <cellStyle name="Normal 23 2" xfId="1043" xr:uid="{C8E73FDF-71D9-4574-837F-2DA7F97830CA}"/>
    <cellStyle name="Normal 230" xfId="864" xr:uid="{3A374094-ADB7-4DF9-906F-0447CDF09F80}"/>
    <cellStyle name="Normal 231" xfId="867" xr:uid="{4A90F592-BE9A-4015-9E69-DEE48182512E}"/>
    <cellStyle name="Normal 232" xfId="870" xr:uid="{ECA6524C-28B5-4A82-A162-83B3A2CE74D1}"/>
    <cellStyle name="Normal 232 2" xfId="1044" xr:uid="{3B49B57C-EE13-4239-BB9A-B7083ACF6568}"/>
    <cellStyle name="Normal 233" xfId="873" xr:uid="{EBD630E7-6AA6-432F-9146-E3907C8157A6}"/>
    <cellStyle name="Normal 233 2" xfId="1046" xr:uid="{63273A43-CC6D-4FE3-9CFE-18B7AD708906}"/>
    <cellStyle name="Normal 234" xfId="876" xr:uid="{2702B4B5-02DB-459C-B1DB-68CE6D34C324}"/>
    <cellStyle name="Normal 235" xfId="879" xr:uid="{D63DC8ED-F57E-4794-85EA-79E72F1784AA}"/>
    <cellStyle name="Normal 236" xfId="882" xr:uid="{42BADA6A-C865-488A-98FC-844B17E7FAFE}"/>
    <cellStyle name="Normal 237" xfId="885" xr:uid="{000A4AA9-1F5B-4F5C-8B50-B23D9840B248}"/>
    <cellStyle name="Normal 238" xfId="888" xr:uid="{A7A941DF-2FF0-4A06-B1CF-FDE9F3A31DED}"/>
    <cellStyle name="Normal 239" xfId="891" xr:uid="{DD342B41-2390-4403-8B14-A3CDB731EC78}"/>
    <cellStyle name="Normal 24" xfId="245" xr:uid="{4B6F7355-A3AD-423B-9EC4-9FD0CD8BEA3B}"/>
    <cellStyle name="Normal 24 2" xfId="1021" xr:uid="{ED55373A-6E34-42C2-AB8F-20517091F082}"/>
    <cellStyle name="Normal 240" xfId="894" xr:uid="{CFEE692D-8776-447F-B2B3-FAFD08310F90}"/>
    <cellStyle name="Normal 241" xfId="897" xr:uid="{643B33EA-253B-44D3-B013-01BCAB3CE8F5}"/>
    <cellStyle name="Normal 242" xfId="900" xr:uid="{133DF167-0043-4DA3-B787-A066647F09CE}"/>
    <cellStyle name="Normal 243" xfId="903" xr:uid="{5407485D-D5AE-4B4C-85CC-8DB86B6D356F}"/>
    <cellStyle name="Normal 244" xfId="906" xr:uid="{CEE69191-7664-42A5-9BD2-39EF653E60FF}"/>
    <cellStyle name="Normal 245" xfId="509" xr:uid="{3380A4C6-3AEA-48F3-9F21-12D9CFF2E0AE}"/>
    <cellStyle name="Normal 245 2" xfId="909" xr:uid="{01E640AF-9C82-4FE9-B9BA-AE177BE3F011}"/>
    <cellStyle name="Normal 245 3" xfId="983" xr:uid="{4DB9E0A3-D2B3-4168-B51B-2D899533A322}"/>
    <cellStyle name="Normal 246" xfId="912" xr:uid="{17990A03-6A3E-42C2-9299-77509D227C2E}"/>
    <cellStyle name="Normal 247" xfId="915" xr:uid="{29973608-905B-47A0-9315-9ADACE2650EA}"/>
    <cellStyle name="Normal 248" xfId="918" xr:uid="{FD30A387-8C08-4D6B-BB07-0AAC2A936FAE}"/>
    <cellStyle name="Normal 249" xfId="1039" xr:uid="{74D43490-1D94-466A-BB28-62D409B40BD5}"/>
    <cellStyle name="Normal 25" xfId="248" xr:uid="{AFC786FE-1E76-4EE0-86EF-BD5F4F798E4E}"/>
    <cellStyle name="Normal 25 2" xfId="965" xr:uid="{90758EB8-5E5E-40FE-935C-3544FE125855}"/>
    <cellStyle name="Normal 250" xfId="1041" xr:uid="{EFDA294F-9790-4740-9016-4AF4629E7E4E}"/>
    <cellStyle name="Normal 251" xfId="1034" xr:uid="{84DFF929-B695-4855-A4EA-468880DF443A}"/>
    <cellStyle name="Normal 251 2" xfId="2295" xr:uid="{9A8E8A1E-F4B3-4962-A5FD-BB2F92CB4D04}"/>
    <cellStyle name="Normal 252" xfId="2298" xr:uid="{4A4DB47C-A221-48A1-B903-FC270E322894}"/>
    <cellStyle name="Normal 253" xfId="2302" xr:uid="{00D11113-FB67-41AF-AEC3-30E115488094}"/>
    <cellStyle name="Normal 254" xfId="1786" xr:uid="{0EDEF7B2-C4F9-445C-9222-AF9F7A386FFF}"/>
    <cellStyle name="Normal 254 2" xfId="5277" xr:uid="{436EACE1-DED0-4458-9618-8FE3D378DD11}"/>
    <cellStyle name="Normal 255" xfId="5275" xr:uid="{EEDF32AD-5B6F-47A9-88A4-09143AF1CF26}"/>
    <cellStyle name="Normal 256" xfId="5273" xr:uid="{F5C92489-353F-42C0-AA1C-B1756CB26F88}"/>
    <cellStyle name="Normal 257" xfId="5272" xr:uid="{00E8B940-33A7-4743-AB79-14AE1E846BF5}"/>
    <cellStyle name="Normal 258" xfId="5270" xr:uid="{06A4B186-4FDE-4CE9-AAA8-A6F9D8F8F01D}"/>
    <cellStyle name="Normal 259" xfId="5268" xr:uid="{6B90880B-C678-4127-A4FE-D33284474867}"/>
    <cellStyle name="Normal 26" xfId="251" xr:uid="{B8BD3BBB-52E5-416C-A74F-CA0004036392}"/>
    <cellStyle name="Normal 26 2" xfId="979" xr:uid="{CF599085-94D6-4AEF-A117-45A7CDA138B2}"/>
    <cellStyle name="Normal 260" xfId="5266" xr:uid="{F4AA5881-7DF6-4E48-9525-5F9AC987C252}"/>
    <cellStyle name="Normal 261" xfId="8113" xr:uid="{97327025-56C7-479E-A15D-1B6EC12A6334}"/>
    <cellStyle name="Normal 27" xfId="254" xr:uid="{A993D0F5-A336-450F-83AE-8F8659D16E1F}"/>
    <cellStyle name="Normal 27 2" xfId="999" xr:uid="{0D522A70-0ACB-43D5-9C0E-EB43B4255188}"/>
    <cellStyle name="Normal 271" xfId="2305" xr:uid="{707C51A7-5B7B-4F9A-AC02-36A32688C547}"/>
    <cellStyle name="Normal 28" xfId="257" xr:uid="{E869F6C7-2B6A-4E6D-8AC9-56F1827B5115}"/>
    <cellStyle name="Normal 28 2" xfId="1019" xr:uid="{28F48548-7AB6-401A-BAFF-3D7E9AD227C4}"/>
    <cellStyle name="Normal 29" xfId="260" xr:uid="{D0750FD6-9DCF-4239-82A4-41E4721377D1}"/>
    <cellStyle name="Normal 29 2" xfId="969" xr:uid="{28AC3113-1821-410F-A3BF-5DE7B050AA3A}"/>
    <cellStyle name="Normal 3" xfId="29" xr:uid="{00000000-0005-0000-0000-000067000000}"/>
    <cellStyle name="Normal 3 2" xfId="191" xr:uid="{477E0FF6-5C7E-47E3-9783-5885BB9EC87B}"/>
    <cellStyle name="Normal 3 2 2" xfId="2349" xr:uid="{CFEBF659-F54A-401A-A711-3556E9DD3E10}"/>
    <cellStyle name="Normal 3 3" xfId="2443" xr:uid="{164C9BB7-9067-40EE-8778-3CB07A9F7E7E}"/>
    <cellStyle name="Normal 3 4" xfId="2449" xr:uid="{687FD4F3-A8D4-4FA3-AF3E-AEB9C52105E3}"/>
    <cellStyle name="Normal 3 5" xfId="2312" xr:uid="{CC0D190A-9B78-429C-A237-85BA5978FC91}"/>
    <cellStyle name="Normal 3 6" xfId="174" xr:uid="{44913152-D2A0-446F-AEC9-ADB8A6675A29}"/>
    <cellStyle name="Normal 30" xfId="263" xr:uid="{DB62843A-BCA0-4B29-A802-DFB19AA58A51}"/>
    <cellStyle name="Normal 30 2" xfId="931" xr:uid="{7DA0B0C1-6FE2-4FA6-9C0D-502B04E27F8A}"/>
    <cellStyle name="Normal 31" xfId="266" xr:uid="{54836397-64C2-4C59-A909-F63E5373CF2D}"/>
    <cellStyle name="Normal 31 2" xfId="996" xr:uid="{B217A8AA-5B6A-4CC3-B0E2-DF4D2BF00F16}"/>
    <cellStyle name="Normal 32" xfId="269" xr:uid="{86237B1E-6292-483D-812A-BB6C244FD342}"/>
    <cellStyle name="Normal 32 2" xfId="1016" xr:uid="{799601E7-88BB-4DA9-B181-B208032DED21}"/>
    <cellStyle name="Normal 33" xfId="272" xr:uid="{5DE4E1D1-08DB-4C10-9983-57B6AE029952}"/>
    <cellStyle name="Normal 33 2" xfId="932" xr:uid="{2529EE38-104F-4A72-A99C-1ABFF1522CE4}"/>
    <cellStyle name="Normal 34" xfId="275" xr:uid="{989B98C3-78C1-48D2-B84E-3BADB50E9682}"/>
    <cellStyle name="Normal 34 2" xfId="922" xr:uid="{4674E245-7336-474D-A342-189312F85C53}"/>
    <cellStyle name="Normal 35" xfId="278" xr:uid="{67CE9674-137A-40BD-A80A-EF5911E44A89}"/>
    <cellStyle name="Normal 35 2" xfId="972" xr:uid="{7149B85F-9340-4F91-935C-EA6BAA3D519F}"/>
    <cellStyle name="Normal 36" xfId="281" xr:uid="{0DB3E30F-5697-448E-BB29-8284E48CB1A4}"/>
    <cellStyle name="Normal 36 2" xfId="964" xr:uid="{713C1A36-5CD8-4275-BF2C-E371AFC88089}"/>
    <cellStyle name="Normal 37" xfId="284" xr:uid="{901D5A0A-9C1F-40F6-A1EB-89D7605AC5FB}"/>
    <cellStyle name="Normal 37 2" xfId="957" xr:uid="{E89C0853-EBB7-4BA8-AF5B-78E673E1DACE}"/>
    <cellStyle name="Normal 38" xfId="287" xr:uid="{E402A14D-EBCC-4892-ADAF-E289A551BCDD}"/>
    <cellStyle name="Normal 38 2" xfId="937" xr:uid="{9D5CDC4A-7326-4C03-ABA4-0F11B9C9BE51}"/>
    <cellStyle name="Normal 39" xfId="290" xr:uid="{5465248D-30D2-49E3-B6BC-C3BF96726A86}"/>
    <cellStyle name="Normal 39 2" xfId="1008" xr:uid="{42BB611C-FDF5-434C-BE4E-40461E79865B}"/>
    <cellStyle name="Normal 4" xfId="31" xr:uid="{00000000-0005-0000-0000-000068000000}"/>
    <cellStyle name="Normal 4 2" xfId="192" xr:uid="{CA5A7941-4A69-4FFE-867C-8DA7E7245FB5}"/>
    <cellStyle name="Normal 4 2 2" xfId="6457" xr:uid="{45517AA4-E471-4114-BF7F-F755C9B46655}"/>
    <cellStyle name="Normal 4 3" xfId="2314" xr:uid="{D9B3C1F7-923A-4E60-954F-E26001CA05B4}"/>
    <cellStyle name="Normal 4 3 2" xfId="6447" xr:uid="{9C0404B4-DEEB-4CC9-B9FB-47A1C11C4F2F}"/>
    <cellStyle name="Normal 4 4" xfId="158" xr:uid="{4BCFE702-860A-4F6F-8C70-7F0592FCE135}"/>
    <cellStyle name="Normal 40" xfId="293" xr:uid="{981AF29F-B76D-42CE-9A94-376668968315}"/>
    <cellStyle name="Normal 40 2" xfId="966" xr:uid="{4B789A74-C53C-4688-B3D7-DC6CC11CCF97}"/>
    <cellStyle name="Normal 41" xfId="296" xr:uid="{1A469C5B-3E74-4B71-8B4D-446CD612D36C}"/>
    <cellStyle name="Normal 41 2" xfId="947" xr:uid="{74D0D73A-1F2D-4B6C-9BAD-A820071F97FA}"/>
    <cellStyle name="Normal 42" xfId="299" xr:uid="{E40C4600-F648-4A96-895A-B05B492AD808}"/>
    <cellStyle name="Normal 42 2" xfId="956" xr:uid="{5CA7310D-B702-42B1-B556-7B8146755248}"/>
    <cellStyle name="Normal 43" xfId="302" xr:uid="{ECFCB91C-1572-4DD0-A8DD-12C9C3B06218}"/>
    <cellStyle name="Normal 43 2" xfId="936" xr:uid="{94F3EF1B-7F5D-4C42-8E10-0472119CC8B7}"/>
    <cellStyle name="Normal 44" xfId="305" xr:uid="{AEB048E8-FE62-4FCE-B11B-1F54E7F186B7}"/>
    <cellStyle name="Normal 44 2" xfId="951" xr:uid="{8388F9BD-503D-4C07-A2A8-D0EF5611811D}"/>
    <cellStyle name="Normal 45" xfId="308" xr:uid="{36E97932-EB29-4F2A-A2B6-101DBA37B0AE}"/>
    <cellStyle name="Normal 45 2" xfId="939" xr:uid="{9CF7CCA2-FAFC-48D2-B40F-B8F5818A2783}"/>
    <cellStyle name="Normal 46" xfId="311" xr:uid="{7522FE88-83CB-432B-A297-BE15BCE66F75}"/>
    <cellStyle name="Normal 46 2" xfId="992" xr:uid="{382BEB56-A99A-4409-9FC5-D2FA476C98D4}"/>
    <cellStyle name="Normal 47" xfId="314" xr:uid="{E148742C-9616-4824-BCD4-554918AE671A}"/>
    <cellStyle name="Normal 47 2" xfId="986" xr:uid="{B5A3D19D-DC15-486F-BD0D-72CA33A6D729}"/>
    <cellStyle name="Normal 48" xfId="317" xr:uid="{7A02174D-1AB3-4A2E-8F9D-7673A04E24EE}"/>
    <cellStyle name="Normal 48 2" xfId="934" xr:uid="{3D37680C-2A63-4421-B78F-308A5F616939}"/>
    <cellStyle name="Normal 49" xfId="320" xr:uid="{908D71B3-8CCC-4128-9292-8AF39C0A4ED8}"/>
    <cellStyle name="Normal 49 2" xfId="959" xr:uid="{DB0559C8-6263-4514-AF4C-399E160CA21C}"/>
    <cellStyle name="Normal 5" xfId="33" xr:uid="{00000000-0005-0000-0000-000069000000}"/>
    <cellStyle name="Normal 5 2" xfId="929" xr:uid="{D81BDFF7-5821-4854-95BE-F2EA8D20E7C0}"/>
    <cellStyle name="Normal 5 2 2" xfId="6459" xr:uid="{B0FA0F88-08C4-4F6D-BD28-8A7E291CE29A}"/>
    <cellStyle name="Normal 5 3" xfId="2316" xr:uid="{EF2BCEA5-9334-4196-A549-81DBAAA7B8B5}"/>
    <cellStyle name="Normal 5 4" xfId="194" xr:uid="{9D108B59-493C-4C53-A9C3-3EA4934DD0DE}"/>
    <cellStyle name="Normal 50" xfId="323" xr:uid="{49A0C5A5-294A-4B2C-A1AA-AFFBE59965B2}"/>
    <cellStyle name="Normal 50 2" xfId="982" xr:uid="{6D4EFFE5-339E-487D-88BC-9F695035BCF6}"/>
    <cellStyle name="Normal 51" xfId="326" xr:uid="{22D41297-C433-4649-9F14-CEDED383219A}"/>
    <cellStyle name="Normal 51 2" xfId="997" xr:uid="{345391BE-54EF-472C-A2F5-2AA758853E18}"/>
    <cellStyle name="Normal 52" xfId="329" xr:uid="{A576CA11-95C2-4A52-B44D-A35D3C74B080}"/>
    <cellStyle name="Normal 52 2" xfId="953" xr:uid="{8813891B-911E-4D32-A6C1-AC12ED92DEDE}"/>
    <cellStyle name="Normal 53" xfId="332" xr:uid="{562BA156-2CC0-4D02-A6FD-742931B3F180}"/>
    <cellStyle name="Normal 53 2" xfId="927" xr:uid="{1448C3E7-7916-4B69-92A4-39AA97A01A76}"/>
    <cellStyle name="Normal 54" xfId="335" xr:uid="{2B019813-742F-4AC9-AD97-E55D0F8C6F21}"/>
    <cellStyle name="Normal 54 2" xfId="1009" xr:uid="{D1C0EC47-5FD3-4C54-B9F6-D00C538A32C4}"/>
    <cellStyle name="Normal 55" xfId="338" xr:uid="{E563E606-79E1-4B60-821C-8BE4F9D2FFB2}"/>
    <cellStyle name="Normal 55 2" xfId="1032" xr:uid="{2AC7CB6A-AB12-4DC9-A638-404C3E254762}"/>
    <cellStyle name="Normal 56" xfId="341" xr:uid="{E7CEADC1-CB76-47C6-ACA9-D699FFCE9B31}"/>
    <cellStyle name="Normal 56 2" xfId="930" xr:uid="{61B025D0-1F11-476C-BA77-75DBF49CD2D7}"/>
    <cellStyle name="Normal 57" xfId="344" xr:uid="{063D3308-CD2D-4EF5-8921-600169A6A835}"/>
    <cellStyle name="Normal 57 2" xfId="967" xr:uid="{FB2C2308-E728-41B5-8C99-464F75FFDCF7}"/>
    <cellStyle name="Normal 58" xfId="347" xr:uid="{90070B4E-5FFB-43FC-A502-4E39B8D645D8}"/>
    <cellStyle name="Normal 58 2" xfId="968" xr:uid="{65A4A07E-8E1B-45A3-98D7-E022E5F4000C}"/>
    <cellStyle name="Normal 59" xfId="350" xr:uid="{FB16CAB8-F917-49E5-94A9-2F1F350EC525}"/>
    <cellStyle name="Normal 59 2" xfId="1033" xr:uid="{6197C4D1-09A6-4A99-B3C4-D6A725CA3887}"/>
    <cellStyle name="Normal 6" xfId="37" xr:uid="{00000000-0005-0000-0000-00006A000000}"/>
    <cellStyle name="Normal 6 2" xfId="1002" xr:uid="{BA90E5CB-3DFC-49E0-937E-1AD85BAEA20F}"/>
    <cellStyle name="Normal 6 2 2" xfId="2355" xr:uid="{83DB7C4C-4DE7-48A7-9FB3-C018D1DA2F90}"/>
    <cellStyle name="Normal 6 3" xfId="2320" xr:uid="{527C1814-2D5E-493A-873F-180B8D71477B}"/>
    <cellStyle name="Normal 6 4" xfId="197" xr:uid="{FC0B16CC-831D-4024-9B3D-781C996FCF18}"/>
    <cellStyle name="Normal 60" xfId="353" xr:uid="{D145B451-B925-433C-BAA7-F15D65B83E3C}"/>
    <cellStyle name="Normal 60 2" xfId="923" xr:uid="{8EB6D20F-B244-443A-BBE0-1C9469D8D650}"/>
    <cellStyle name="Normal 61" xfId="356" xr:uid="{B4E9BD0E-A463-4798-AE89-4780A0CA62E7}"/>
    <cellStyle name="Normal 61 2" xfId="981" xr:uid="{D463DCB6-9FC6-4CA4-AA22-3BBA39648A7D}"/>
    <cellStyle name="Normal 62" xfId="359" xr:uid="{8D82E5E2-DE29-479A-981B-BB7D17D451FC}"/>
    <cellStyle name="Normal 62 2" xfId="1005" xr:uid="{92C7D99E-28AE-489B-8D42-E9F9C2C5EEFA}"/>
    <cellStyle name="Normal 63" xfId="362" xr:uid="{42A0C113-3830-4904-AF7C-2003BA5F6B0D}"/>
    <cellStyle name="Normal 63 2" xfId="1028" xr:uid="{634FAC8F-A358-4ADD-8EE1-4BE53B7D93D2}"/>
    <cellStyle name="Normal 64" xfId="365" xr:uid="{A1B5058C-6240-4963-87BE-E40B028BB4DB}"/>
    <cellStyle name="Normal 64 2" xfId="945" xr:uid="{21E4D37E-2EFA-4553-8FF9-DDAB02A9EF23}"/>
    <cellStyle name="Normal 65" xfId="368" xr:uid="{36C8F5C5-A4C5-4F6E-96B1-6AB1EC0C9BFB}"/>
    <cellStyle name="Normal 65 2" xfId="1003" xr:uid="{128A9685-4A9E-414D-AF93-D4C29F47AD81}"/>
    <cellStyle name="Normal 66" xfId="371" xr:uid="{17FA6896-2D9B-48AB-AABE-DE0649D747B9}"/>
    <cellStyle name="Normal 66 2" xfId="1024" xr:uid="{F6E29E29-E056-4ADC-9D36-D3B05D7BD9E4}"/>
    <cellStyle name="Normal 67" xfId="374" xr:uid="{0F1D06BD-3BAE-4748-9ADC-6CA6DA3D3F99}"/>
    <cellStyle name="Normal 67 2" xfId="924" xr:uid="{4CDE684F-1928-46AD-804C-DD77D2783D3C}"/>
    <cellStyle name="Normal 68" xfId="377" xr:uid="{C41C8D6D-6129-4364-B419-F7DCFBE30D7D}"/>
    <cellStyle name="Normal 68 2" xfId="978" xr:uid="{D46E18C5-F1E5-44C6-83F9-292D8F32B189}"/>
    <cellStyle name="Normal 69" xfId="380" xr:uid="{3CAF1217-C3C7-4202-94F0-C538DF89E225}"/>
    <cellStyle name="Normal 69 2" xfId="970" xr:uid="{8BAEE3C8-D2D9-49BA-8CFA-4EA267442515}"/>
    <cellStyle name="Normal 7" xfId="79" xr:uid="{00000000-0005-0000-0000-00006B000000}"/>
    <cellStyle name="Normal 7 2" xfId="1017" xr:uid="{FFF4E9DB-E167-4749-86E2-7B15FF3899A3}"/>
    <cellStyle name="Normal 7 2 2" xfId="2367" xr:uid="{8C761A21-80FD-4697-8373-957243B50259}"/>
    <cellStyle name="Normal 7 3" xfId="2330" xr:uid="{498E58A4-F154-401F-9B71-E96D0A49A7F3}"/>
    <cellStyle name="Normal 7 4" xfId="200" xr:uid="{683B1201-E5C8-4EFC-9ABD-40109ACCA110}"/>
    <cellStyle name="Normal 70" xfId="383" xr:uid="{80F25901-408E-4C8D-9A59-5F85CFF3C231}"/>
    <cellStyle name="Normal 70 2" xfId="928" xr:uid="{3575444A-6645-4A80-A6E9-A88E75B8AC8F}"/>
    <cellStyle name="Normal 71" xfId="386" xr:uid="{775ED8EE-78B9-4DAD-A9B3-38D60F71ADAF}"/>
    <cellStyle name="Normal 71 2" xfId="990" xr:uid="{35523FF6-5EAB-4F7D-BEE9-74EE4935597A}"/>
    <cellStyle name="Normal 72" xfId="389" xr:uid="{F59C5387-9F9A-4FD8-8F77-D6FB605FE0D5}"/>
    <cellStyle name="Normal 72 2" xfId="985" xr:uid="{B07EB688-74FE-4AB9-82E9-2247F6F62E73}"/>
    <cellStyle name="Normal 73" xfId="392" xr:uid="{6D76DF55-AB00-46DE-8B9C-4B851438887A}"/>
    <cellStyle name="Normal 73 2" xfId="960" xr:uid="{C2F51445-35A3-4ACF-93EE-314E7BE1BF51}"/>
    <cellStyle name="Normal 74" xfId="395" xr:uid="{F81391F2-1850-4A0D-8941-D00BE65469C8}"/>
    <cellStyle name="Normal 74 2" xfId="1029" xr:uid="{94BF9FD0-E101-4074-BD71-005D0FCABB69}"/>
    <cellStyle name="Normal 75" xfId="398" xr:uid="{4ACD7B5C-7C2F-41D2-A0F2-F948230437E1}"/>
    <cellStyle name="Normal 75 2" xfId="1001" xr:uid="{3619FDD9-C78E-4D94-AAF6-BEE393FA29B6}"/>
    <cellStyle name="Normal 76" xfId="401" xr:uid="{934D67B9-A256-40DE-BA84-8D33D1A3355C}"/>
    <cellStyle name="Normal 76 2" xfId="984" xr:uid="{3FF43853-D95C-4AF8-A647-52AF06A2757F}"/>
    <cellStyle name="Normal 77" xfId="404" xr:uid="{9EC8DC74-1C97-4FB1-A9AC-BA4C0B2BE114}"/>
    <cellStyle name="Normal 77 2" xfId="1011" xr:uid="{24BCF753-438F-4A9E-AA75-74A0CCB12235}"/>
    <cellStyle name="Normal 78" xfId="407" xr:uid="{B9665769-EA77-4155-9F0F-55ECD4579590}"/>
    <cellStyle name="Normal 78 2" xfId="1036" xr:uid="{4B9F21DA-C5A3-4A78-8CFA-7AB35E79B121}"/>
    <cellStyle name="Normal 79" xfId="410" xr:uid="{690B0EED-FA9A-4786-804F-1BCB13B9BFBF}"/>
    <cellStyle name="Normal 79 2" xfId="977" xr:uid="{E929B042-CADB-4718-B9FD-F138B2CD5997}"/>
    <cellStyle name="Normal 8" xfId="203" xr:uid="{98CEA9F0-BF14-4FE6-8524-5D93A5D205AE}"/>
    <cellStyle name="Normal 8 2" xfId="952" xr:uid="{0F2597B7-A1A6-4E94-AF94-84F22639B74F}"/>
    <cellStyle name="Normal 8 3" xfId="2335" xr:uid="{9DEC4DA5-7F32-46CA-83E5-D6D859EBD869}"/>
    <cellStyle name="Normal 80" xfId="413" xr:uid="{5D9A6311-396E-461C-845C-422652B258BC}"/>
    <cellStyle name="Normal 80 2" xfId="940" xr:uid="{AC0EBEBF-9C46-43E7-9B71-065EDD7A6D78}"/>
    <cellStyle name="Normal 81" xfId="416" xr:uid="{AB40FD87-1140-4FD7-9C23-64A1BDFC5AE1}"/>
    <cellStyle name="Normal 81 2" xfId="1004" xr:uid="{0A2CA780-20F4-424E-9A36-769335B69C2A}"/>
    <cellStyle name="Normal 82" xfId="419" xr:uid="{10EE58C2-1903-4F42-B276-F27ED59E6765}"/>
    <cellStyle name="Normal 82 2" xfId="1012" xr:uid="{27EF91B1-D7F6-4A9B-980E-51A0F716FC8B}"/>
    <cellStyle name="Normal 83" xfId="422" xr:uid="{C06AB5BE-BD0F-4BB5-81E1-1D108ADD6A5C}"/>
    <cellStyle name="Normal 83 2" xfId="1025" xr:uid="{F153F438-6538-41BC-A4D3-AC8C7013EA57}"/>
    <cellStyle name="Normal 84" xfId="425" xr:uid="{666526C2-6F27-475F-BA08-B4FA61220357}"/>
    <cellStyle name="Normal 84 2" xfId="994" xr:uid="{98FA96AA-6111-4CE0-B077-8A24A387501F}"/>
    <cellStyle name="Normal 85" xfId="428" xr:uid="{E5141C57-5060-47BB-AE02-40DCDAA14E3F}"/>
    <cellStyle name="Normal 85 2" xfId="1014" xr:uid="{F9FE0202-4644-4CCA-8B82-26FEC433B149}"/>
    <cellStyle name="Normal 86" xfId="431" xr:uid="{9EC683F2-51D7-41B7-A27A-E5A2ABDFD13E}"/>
    <cellStyle name="Normal 86 2" xfId="1022" xr:uid="{91999556-278B-4B11-8121-99B192EB2C08}"/>
    <cellStyle name="Normal 87" xfId="434" xr:uid="{13CFF6C3-3D6C-4DF2-99D8-9F16618C4598}"/>
    <cellStyle name="Normal 87 2" xfId="1000" xr:uid="{9CCA1230-357E-4994-BBD1-D89D0F5E4C35}"/>
    <cellStyle name="Normal 88" xfId="437" xr:uid="{1912B7A8-D7C7-4052-8D82-C36AFFE00696}"/>
    <cellStyle name="Normal 88 2" xfId="993" xr:uid="{7175D81B-0137-451B-805A-C5E9A1222E7E}"/>
    <cellStyle name="Normal 89" xfId="440" xr:uid="{A36F8871-5ADA-4A4F-AAF8-AEAD4CA5CC20}"/>
    <cellStyle name="Normal 89 2" xfId="1013" xr:uid="{48E5BA3C-06CA-4752-B062-243571C2B506}"/>
    <cellStyle name="Normal 9" xfId="205" xr:uid="{2B04E3E7-9C78-4CFE-84C6-CE6ECEFAE1A5}"/>
    <cellStyle name="Normal 9 2" xfId="974" xr:uid="{09B6A133-40BD-4191-A94D-E07C8346202A}"/>
    <cellStyle name="Normal 9 2 2" xfId="2379" xr:uid="{4A527FE8-E6DC-43D3-BBD4-B5EEE0BD6287}"/>
    <cellStyle name="Normal 9 3" xfId="2381" xr:uid="{73F6161D-BFC8-484B-9E88-1EDE59C232BF}"/>
    <cellStyle name="Normal 9 4" xfId="2343" xr:uid="{44B0C4A7-F09F-4391-86F3-D34903207E95}"/>
    <cellStyle name="Normal 90" xfId="443" xr:uid="{EE1E7511-ACCF-4D12-9C27-A7F7080ECB9D}"/>
    <cellStyle name="Normal 90 2" xfId="1023" xr:uid="{CCF9877A-092D-45B4-BB4E-8B81EBB4784F}"/>
    <cellStyle name="Normal 91" xfId="446" xr:uid="{0F5B6E80-F996-43B5-B6BA-0571D53D6169}"/>
    <cellStyle name="Normal 91 2" xfId="1006" xr:uid="{BDEBCDD5-072E-460B-B786-0433E456448B}"/>
    <cellStyle name="Normal 92" xfId="449" xr:uid="{F262508C-C723-44F4-AF33-542CFC80A553}"/>
    <cellStyle name="Normal 92 2" xfId="988" xr:uid="{C1AEB555-1349-439C-B45B-A9EA4DA347D2}"/>
    <cellStyle name="Normal 93" xfId="452" xr:uid="{4985548C-7993-4964-ABBC-89008188B976}"/>
    <cellStyle name="Normal 93 2" xfId="926" xr:uid="{54C8865F-DBBA-49F2-BD0B-B4CDA8D045A1}"/>
    <cellStyle name="Normal 94" xfId="455" xr:uid="{E69C5611-8861-439B-90B5-EEBDB52B63B6}"/>
    <cellStyle name="Normal 95" xfId="458" xr:uid="{E0B3891C-83A1-4DB2-88A6-16312BE58809}"/>
    <cellStyle name="Normal 96" xfId="461" xr:uid="{EF7C19B9-0602-4DD2-B3FB-7558C3CC0E63}"/>
    <cellStyle name="Normal 97" xfId="464" xr:uid="{C81976D3-C30B-4036-A35A-8B660C7AE9D5}"/>
    <cellStyle name="Normal 98" xfId="467" xr:uid="{717BC727-12AD-46EA-ACBF-3E0B8B5E47B6}"/>
    <cellStyle name="Normal 99" xfId="470" xr:uid="{E16346B8-71FC-4219-AA4B-CE7B66C5D490}"/>
    <cellStyle name="Notas 2" xfId="72" xr:uid="{00000000-0005-0000-0000-00006C000000}"/>
    <cellStyle name="Note" xfId="129" builtinId="10" customBuiltin="1"/>
    <cellStyle name="Output" xfId="126" builtinId="21" customBuiltin="1"/>
    <cellStyle name="Porcentaje 2" xfId="169" xr:uid="{81F56FF3-C24B-4278-BD88-6EC58936C382}"/>
    <cellStyle name="Porcentaje 2 2" xfId="176" xr:uid="{D81A0C76-54E4-4F64-BF63-B7890CAA3B05}"/>
    <cellStyle name="Porcentaje 2 2 2" xfId="3483" xr:uid="{60FD276C-E5D3-40ED-8364-CF1E40FC0547}"/>
    <cellStyle name="Porcentaje 2 2 2 2" xfId="11051" xr:uid="{DFC9BF98-7CAB-4CEC-B4FF-716B5DACC932}"/>
    <cellStyle name="Porcentaje 2 2 3" xfId="8131" xr:uid="{7D81B8D5-FEC7-4F13-8E46-0E5CE3BF1B05}"/>
    <cellStyle name="Porcentaje 2 3" xfId="190" xr:uid="{1F185F7A-56B7-4A5F-AD72-9015F58F37A1}"/>
    <cellStyle name="Porcentaje 2 4" xfId="3478" xr:uid="{3FBC012B-3835-4EB3-8E0B-E32318B77FC4}"/>
    <cellStyle name="Porcentaje 2 4 2" xfId="11046" xr:uid="{65638607-DC7C-4EE2-AC40-768C3474300C}"/>
    <cellStyle name="Porcentaje 2 5" xfId="8126" xr:uid="{4FB8FEC4-00C3-483F-A831-880366D4BA97}"/>
    <cellStyle name="Porcentaje 3" xfId="160" xr:uid="{FEA36BF0-259B-4E95-89B0-207C09856DF9}"/>
    <cellStyle name="Porcentaje 3 2" xfId="3470" xr:uid="{FEAE3559-520F-4D35-88E7-9DDF2AC6EE0D}"/>
    <cellStyle name="Porcentaje 3 2 2" xfId="11038" xr:uid="{0724978A-7376-49B1-BDEA-481AB825129E}"/>
    <cellStyle name="Porcentaje 3 3" xfId="8118" xr:uid="{B1216B73-A590-4713-A2A7-2A1AFFEEDF16}"/>
    <cellStyle name="Porcentaje 9" xfId="159" xr:uid="{9E98D70A-83CC-474D-9DBD-2A0F90771B3F}"/>
    <cellStyle name="Salida 2" xfId="73" xr:uid="{00000000-0005-0000-0000-00006E000000}"/>
    <cellStyle name="Title" xfId="117" builtinId="15" customBuiltin="1"/>
    <cellStyle name="Título 2 2" xfId="75" xr:uid="{00000000-0005-0000-0000-000071000000}"/>
    <cellStyle name="Título 3 2" xfId="76" xr:uid="{00000000-0005-0000-0000-000072000000}"/>
    <cellStyle name="Título 3 2 2" xfId="2365" xr:uid="{3CB7E8C8-D831-4BF4-959C-67968F27F5C6}"/>
    <cellStyle name="Título 4" xfId="74" xr:uid="{00000000-0005-0000-0000-000073000000}"/>
    <cellStyle name="Total" xfId="130" builtinId="25" customBuiltin="1"/>
    <cellStyle name="Total 2" xfId="77" xr:uid="{00000000-0005-0000-0000-000074000000}"/>
    <cellStyle name="Warning Text" xfId="19" builtinId="11" customBuiltin="1"/>
  </cellStyles>
  <dxfs count="0"/>
  <tableStyles count="0" defaultTableStyle="TableStyleMedium2" defaultPivotStyle="PivotStyleLight16"/>
  <colors>
    <mruColors>
      <color rgb="FFDDDDDD"/>
      <color rgb="FF00FF00"/>
      <color rgb="FFFF6600"/>
      <color rgb="FF51F559"/>
      <color rgb="FF99FF33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F3675-975F-8D42-B1E5-2D160D655090}">
  <dimension ref="A2:AG116"/>
  <sheetViews>
    <sheetView tabSelected="1" topLeftCell="Q1" zoomScale="125" workbookViewId="0">
      <selection activeCell="AB5" sqref="AB5"/>
    </sheetView>
  </sheetViews>
  <sheetFormatPr baseColWidth="10" defaultRowHeight="15" x14ac:dyDescent="0.2"/>
  <cols>
    <col min="1" max="1" width="3.5" style="14" customWidth="1"/>
    <col min="2" max="2" width="5.5" style="14" customWidth="1"/>
    <col min="3" max="3" width="8.5" style="14" customWidth="1"/>
    <col min="4" max="4" width="15.5" style="14" customWidth="1"/>
    <col min="5" max="5" width="6.6640625" style="14" customWidth="1"/>
    <col min="6" max="6" width="10.6640625" style="14" customWidth="1"/>
    <col min="7" max="7" width="3.5" style="14" customWidth="1"/>
    <col min="8" max="8" width="23.5" style="81" bestFit="1" customWidth="1"/>
    <col min="9" max="9" width="15.5" style="81" bestFit="1" customWidth="1"/>
    <col min="10" max="10" width="9.33203125" style="81"/>
    <col min="12" max="12" width="23.5" style="81" bestFit="1" customWidth="1"/>
    <col min="13" max="13" width="15.5" style="81" bestFit="1" customWidth="1"/>
    <col min="14" max="14" width="10.83203125" style="81"/>
    <col min="16" max="16" width="23.5" style="81" bestFit="1" customWidth="1"/>
    <col min="17" max="17" width="15.5" style="81" bestFit="1" customWidth="1"/>
    <col min="18" max="18" width="10.83203125" style="81"/>
    <col min="20" max="20" width="23.5" style="81" bestFit="1" customWidth="1"/>
    <col min="21" max="21" width="15.5" style="81" bestFit="1" customWidth="1"/>
    <col min="22" max="22" width="10.83203125" style="81"/>
    <col min="24" max="24" width="23.5" style="81" bestFit="1" customWidth="1"/>
    <col min="25" max="25" width="15.5" style="81" bestFit="1" customWidth="1"/>
    <col min="26" max="26" width="10.83203125" style="81"/>
    <col min="28" max="28" width="23.5" style="81" bestFit="1" customWidth="1"/>
    <col min="29" max="29" width="15.5" style="81" bestFit="1" customWidth="1"/>
    <col min="30" max="30" width="10.83203125" style="81"/>
  </cols>
  <sheetData>
    <row r="2" spans="1:30" ht="16" thickBot="1" x14ac:dyDescent="0.25">
      <c r="F2" s="15"/>
    </row>
    <row r="3" spans="1:30" x14ac:dyDescent="0.2">
      <c r="B3" s="16"/>
      <c r="C3" s="17"/>
      <c r="D3" s="17"/>
      <c r="E3" s="17"/>
      <c r="F3" s="17"/>
      <c r="G3" s="18"/>
      <c r="H3" s="100" t="s">
        <v>92</v>
      </c>
      <c r="I3" s="101"/>
      <c r="J3" s="102"/>
      <c r="L3" s="100" t="s">
        <v>92</v>
      </c>
      <c r="M3" s="101"/>
      <c r="N3" s="102"/>
      <c r="P3" s="100" t="s">
        <v>92</v>
      </c>
      <c r="Q3" s="101"/>
      <c r="R3" s="102"/>
      <c r="T3" s="100" t="s">
        <v>92</v>
      </c>
      <c r="U3" s="101"/>
      <c r="V3" s="102"/>
      <c r="X3" s="100" t="s">
        <v>88</v>
      </c>
      <c r="Y3" s="101"/>
      <c r="Z3" s="102"/>
      <c r="AB3" s="100" t="s">
        <v>93</v>
      </c>
      <c r="AC3" s="101"/>
      <c r="AD3" s="102"/>
    </row>
    <row r="4" spans="1:30" x14ac:dyDescent="0.2">
      <c r="B4" s="19"/>
      <c r="C4" s="20"/>
      <c r="D4" s="20"/>
      <c r="E4" s="20"/>
      <c r="F4" s="21" t="s">
        <v>0</v>
      </c>
      <c r="G4" s="22"/>
      <c r="H4" s="82">
        <v>416213.0458333334</v>
      </c>
      <c r="I4" s="23"/>
      <c r="J4" s="24"/>
      <c r="L4" s="82">
        <v>459485.83333333331</v>
      </c>
      <c r="M4" s="23"/>
      <c r="N4" s="24"/>
      <c r="P4" s="82">
        <v>486004.5</v>
      </c>
      <c r="Q4" s="23"/>
      <c r="R4" s="24"/>
      <c r="T4" s="82">
        <v>280295.82142857142</v>
      </c>
      <c r="U4" s="23"/>
      <c r="V4" s="24"/>
      <c r="X4" s="30">
        <f>AVERAGE(H4,L4,P4,T4)</f>
        <v>410499.8001488095</v>
      </c>
      <c r="Y4" s="23"/>
      <c r="Z4" s="24"/>
      <c r="AB4" s="30">
        <v>350000</v>
      </c>
      <c r="AC4" s="23"/>
      <c r="AD4" s="24"/>
    </row>
    <row r="5" spans="1:30" x14ac:dyDescent="0.2">
      <c r="B5" s="25" t="s">
        <v>1</v>
      </c>
      <c r="C5" s="26"/>
      <c r="D5" s="26"/>
      <c r="E5" s="26"/>
      <c r="F5" s="27"/>
      <c r="G5" s="28"/>
      <c r="H5" s="83"/>
      <c r="I5" s="32"/>
      <c r="J5" s="28"/>
      <c r="L5" s="83"/>
      <c r="M5" s="32"/>
      <c r="N5" s="28"/>
      <c r="P5" s="83"/>
      <c r="Q5" s="32"/>
      <c r="R5" s="28"/>
      <c r="T5" s="83"/>
      <c r="U5" s="32"/>
      <c r="V5" s="28"/>
      <c r="X5" s="83"/>
      <c r="Y5" s="32"/>
      <c r="Z5" s="28"/>
      <c r="AB5" s="83"/>
      <c r="AC5" s="32"/>
      <c r="AD5" s="28"/>
    </row>
    <row r="6" spans="1:30" x14ac:dyDescent="0.2">
      <c r="B6" s="29"/>
      <c r="C6" s="26" t="s">
        <v>2</v>
      </c>
      <c r="D6" s="26"/>
      <c r="E6" s="26"/>
      <c r="F6" s="27"/>
      <c r="G6" s="28"/>
      <c r="H6" s="30">
        <v>348829.78666666668</v>
      </c>
      <c r="I6" s="31">
        <v>0.97220122584022595</v>
      </c>
      <c r="J6" s="28"/>
      <c r="L6" s="30">
        <v>383662.68508620682</v>
      </c>
      <c r="M6" s="31">
        <v>0.96858036789123814</v>
      </c>
      <c r="N6" s="28"/>
      <c r="P6" s="30">
        <v>399345.05247126432</v>
      </c>
      <c r="Q6" s="31">
        <v>0.95316109124907988</v>
      </c>
      <c r="R6" s="28"/>
      <c r="T6" s="30">
        <v>234159.60428571427</v>
      </c>
      <c r="U6" s="31">
        <v>0.9690656461970536</v>
      </c>
      <c r="V6" s="28"/>
      <c r="X6" s="30">
        <f>AVERAGE(H6,L6,P6,T6)</f>
        <v>341499.28212746303</v>
      </c>
      <c r="Y6" s="31">
        <v>0.9690656461970536</v>
      </c>
      <c r="Z6" s="28"/>
      <c r="AB6" s="30">
        <v>341499.28212746303</v>
      </c>
      <c r="AC6" s="31">
        <v>0.9690656461970536</v>
      </c>
      <c r="AD6" s="28"/>
    </row>
    <row r="7" spans="1:30" x14ac:dyDescent="0.2">
      <c r="B7" s="29"/>
      <c r="C7" s="26" t="s">
        <v>3</v>
      </c>
      <c r="D7" s="26"/>
      <c r="E7" s="26"/>
      <c r="F7" s="27"/>
      <c r="G7" s="28"/>
      <c r="H7" s="30">
        <v>9853.2649999999994</v>
      </c>
      <c r="I7" s="31">
        <v>2.7461405756276182E-2</v>
      </c>
      <c r="J7" s="28"/>
      <c r="L7" s="30">
        <v>12269.8575</v>
      </c>
      <c r="M7" s="31">
        <v>3.0976020221129202E-2</v>
      </c>
      <c r="N7" s="28"/>
      <c r="P7" s="30">
        <v>15869.929999999998</v>
      </c>
      <c r="Q7" s="31">
        <v>3.787852060076536E-2</v>
      </c>
      <c r="R7" s="28"/>
      <c r="T7" s="30">
        <v>7472.3414285714289</v>
      </c>
      <c r="U7" s="31">
        <v>3.0924161309429408E-2</v>
      </c>
      <c r="V7" s="28"/>
      <c r="X7" s="30">
        <f t="shared" ref="X7:X11" si="0">AVERAGE(H7,L7,P7,T7)</f>
        <v>11366.348482142857</v>
      </c>
      <c r="Y7" s="31">
        <v>3.0924161309429408E-2</v>
      </c>
      <c r="Z7" s="28"/>
      <c r="AB7" s="30">
        <v>11366.348482142857</v>
      </c>
      <c r="AC7" s="31">
        <v>3.0924161309429408E-2</v>
      </c>
      <c r="AD7" s="28"/>
    </row>
    <row r="8" spans="1:30" x14ac:dyDescent="0.2">
      <c r="B8" s="29"/>
      <c r="C8" s="26" t="s">
        <v>52</v>
      </c>
      <c r="D8" s="26"/>
      <c r="E8" s="26"/>
      <c r="F8" s="27"/>
      <c r="G8" s="28"/>
      <c r="H8" s="30">
        <v>121.04916666666666</v>
      </c>
      <c r="I8" s="31">
        <v>3.3736840349797098E-4</v>
      </c>
      <c r="J8" s="28"/>
      <c r="L8" s="30">
        <v>175.71833333333333</v>
      </c>
      <c r="M8" s="31">
        <v>4.4361188763247285E-4</v>
      </c>
      <c r="N8" s="28"/>
      <c r="P8" s="30">
        <v>3754.1258333333335</v>
      </c>
      <c r="Q8" s="31">
        <v>8.9603881501545447E-3</v>
      </c>
      <c r="R8" s="28"/>
      <c r="T8" s="30">
        <v>2.4628571428571426</v>
      </c>
      <c r="U8" s="31">
        <v>1.019249351703612E-5</v>
      </c>
      <c r="V8" s="28"/>
      <c r="X8" s="30">
        <f t="shared" si="0"/>
        <v>1013.3390476190476</v>
      </c>
      <c r="Y8" s="31">
        <v>1.019249351703612E-5</v>
      </c>
      <c r="Z8" s="28"/>
      <c r="AB8" s="30">
        <v>1013.3390476190476</v>
      </c>
      <c r="AC8" s="31">
        <v>1.019249351703612E-5</v>
      </c>
      <c r="AD8" s="28"/>
    </row>
    <row r="9" spans="1:30" x14ac:dyDescent="0.2">
      <c r="B9" s="29"/>
      <c r="C9" s="26" t="s">
        <v>53</v>
      </c>
      <c r="D9" s="26"/>
      <c r="E9" s="26"/>
      <c r="F9" s="27"/>
      <c r="G9" s="28"/>
      <c r="H9" s="30">
        <v>0</v>
      </c>
      <c r="I9" s="31">
        <v>0</v>
      </c>
      <c r="J9" s="28"/>
      <c r="L9" s="30">
        <v>0</v>
      </c>
      <c r="M9" s="31">
        <v>0</v>
      </c>
      <c r="N9" s="28"/>
      <c r="P9" s="30">
        <v>0</v>
      </c>
      <c r="Q9" s="31">
        <v>0</v>
      </c>
      <c r="R9" s="28"/>
      <c r="T9" s="30">
        <v>0</v>
      </c>
      <c r="U9" s="31">
        <v>0</v>
      </c>
      <c r="V9" s="28"/>
      <c r="X9" s="30">
        <f t="shared" si="0"/>
        <v>0</v>
      </c>
      <c r="Y9" s="31">
        <v>0</v>
      </c>
      <c r="Z9" s="28"/>
      <c r="AB9" s="30">
        <v>0</v>
      </c>
      <c r="AC9" s="31">
        <v>0</v>
      </c>
      <c r="AD9" s="28"/>
    </row>
    <row r="10" spans="1:30" x14ac:dyDescent="0.2">
      <c r="B10" s="29"/>
      <c r="C10" s="26" t="s">
        <v>37</v>
      </c>
      <c r="D10" s="26"/>
      <c r="E10" s="26"/>
      <c r="F10" s="27"/>
      <c r="G10" s="28"/>
      <c r="H10" s="30">
        <v>0</v>
      </c>
      <c r="I10" s="31">
        <v>0</v>
      </c>
      <c r="J10" s="28"/>
      <c r="L10" s="30">
        <v>0</v>
      </c>
      <c r="M10" s="31">
        <v>0</v>
      </c>
      <c r="N10" s="28"/>
      <c r="P10" s="30">
        <v>0</v>
      </c>
      <c r="Q10" s="31">
        <v>0</v>
      </c>
      <c r="R10" s="28"/>
      <c r="T10" s="30">
        <v>0</v>
      </c>
      <c r="U10" s="31">
        <v>0</v>
      </c>
      <c r="V10" s="28"/>
      <c r="X10" s="30">
        <f t="shared" si="0"/>
        <v>0</v>
      </c>
      <c r="Y10" s="31">
        <v>0</v>
      </c>
      <c r="Z10" s="28"/>
      <c r="AB10" s="30">
        <v>0</v>
      </c>
      <c r="AC10" s="31">
        <v>0</v>
      </c>
      <c r="AD10" s="28"/>
    </row>
    <row r="11" spans="1:30" x14ac:dyDescent="0.2">
      <c r="B11" s="29"/>
      <c r="C11" s="26"/>
      <c r="D11" s="21" t="s">
        <v>4</v>
      </c>
      <c r="E11" s="32"/>
      <c r="F11" s="27"/>
      <c r="G11" s="28"/>
      <c r="H11" s="30">
        <v>358804.10083333333</v>
      </c>
      <c r="I11" s="33">
        <v>1.0000000000000002</v>
      </c>
      <c r="J11" s="28"/>
      <c r="L11" s="30">
        <v>396108.26091954025</v>
      </c>
      <c r="M11" s="33">
        <v>0.99999999999999978</v>
      </c>
      <c r="N11" s="28"/>
      <c r="P11" s="30">
        <v>418969.10830459773</v>
      </c>
      <c r="Q11" s="33">
        <v>0.99999999999999978</v>
      </c>
      <c r="R11" s="28"/>
      <c r="T11" s="30">
        <v>241634.40857142856</v>
      </c>
      <c r="U11" s="33">
        <v>1</v>
      </c>
      <c r="V11" s="28"/>
      <c r="X11" s="30">
        <f t="shared" si="0"/>
        <v>353878.96965722495</v>
      </c>
      <c r="Y11" s="33">
        <v>1</v>
      </c>
      <c r="Z11" s="28"/>
      <c r="AB11" s="30">
        <f>SUM(AB6:AB10)</f>
        <v>353878.96965722489</v>
      </c>
      <c r="AC11" s="33">
        <v>1</v>
      </c>
      <c r="AD11" s="28"/>
    </row>
    <row r="12" spans="1:30" x14ac:dyDescent="0.2">
      <c r="A12"/>
      <c r="B12" s="5"/>
      <c r="C12" s="2"/>
      <c r="D12" s="1"/>
      <c r="E12" s="7"/>
      <c r="F12" s="3"/>
      <c r="G12" s="4"/>
      <c r="H12" s="85"/>
      <c r="I12" s="31"/>
      <c r="J12" s="28"/>
      <c r="L12" s="85"/>
      <c r="M12" s="31"/>
      <c r="N12" s="28"/>
      <c r="P12" s="85"/>
      <c r="Q12" s="31"/>
      <c r="R12" s="28"/>
      <c r="T12" s="85"/>
      <c r="U12" s="31"/>
      <c r="V12" s="28"/>
      <c r="X12" s="85"/>
      <c r="Y12" s="31"/>
      <c r="Z12" s="28"/>
      <c r="AB12" s="85"/>
      <c r="AC12" s="31"/>
      <c r="AD12" s="28"/>
    </row>
    <row r="13" spans="1:30" x14ac:dyDescent="0.2">
      <c r="A13"/>
      <c r="B13" s="5"/>
      <c r="C13" s="9" t="s">
        <v>5</v>
      </c>
      <c r="D13" s="2"/>
      <c r="E13" s="2"/>
      <c r="F13" s="3"/>
      <c r="G13" s="4"/>
      <c r="H13" s="30" t="e">
        <v>#DIV/0!</v>
      </c>
      <c r="I13" s="79" t="e">
        <v>#DIV/0!</v>
      </c>
      <c r="J13" s="28"/>
      <c r="L13" s="30" t="e">
        <v>#DIV/0!</v>
      </c>
      <c r="M13" s="79" t="e">
        <v>#DIV/0!</v>
      </c>
      <c r="N13" s="28"/>
      <c r="P13" s="30" t="e">
        <v>#DIV/0!</v>
      </c>
      <c r="Q13" s="79" t="e">
        <v>#DIV/0!</v>
      </c>
      <c r="R13" s="28"/>
      <c r="T13" s="30">
        <v>0</v>
      </c>
      <c r="U13" s="79" t="e">
        <v>#DIV/0!</v>
      </c>
      <c r="V13" s="28"/>
      <c r="X13" s="30">
        <v>0</v>
      </c>
      <c r="Y13" s="79" t="e">
        <v>#DIV/0!</v>
      </c>
      <c r="Z13" s="28"/>
      <c r="AB13" s="30">
        <v>0</v>
      </c>
      <c r="AC13" s="79" t="e">
        <v>#DIV/0!</v>
      </c>
      <c r="AD13" s="28"/>
    </row>
    <row r="14" spans="1:30" x14ac:dyDescent="0.2">
      <c r="A14"/>
      <c r="B14" s="5"/>
      <c r="C14" s="9" t="s">
        <v>5</v>
      </c>
      <c r="D14" s="2"/>
      <c r="E14" s="2"/>
      <c r="F14" s="3"/>
      <c r="G14" s="4"/>
      <c r="H14" s="30" t="e">
        <v>#DIV/0!</v>
      </c>
      <c r="I14" s="79" t="e">
        <v>#DIV/0!</v>
      </c>
      <c r="J14" s="28"/>
      <c r="L14" s="30" t="e">
        <v>#DIV/0!</v>
      </c>
      <c r="M14" s="79" t="e">
        <v>#DIV/0!</v>
      </c>
      <c r="N14" s="28"/>
      <c r="P14" s="30" t="e">
        <v>#DIV/0!</v>
      </c>
      <c r="Q14" s="79" t="e">
        <v>#DIV/0!</v>
      </c>
      <c r="R14" s="28"/>
      <c r="T14" s="30">
        <v>0</v>
      </c>
      <c r="U14" s="79" t="e">
        <v>#DIV/0!</v>
      </c>
      <c r="V14" s="28"/>
      <c r="X14" s="30">
        <v>0</v>
      </c>
      <c r="Y14" s="79" t="e">
        <v>#DIV/0!</v>
      </c>
      <c r="Z14" s="28"/>
      <c r="AB14" s="30">
        <v>0</v>
      </c>
      <c r="AC14" s="79" t="e">
        <v>#DIV/0!</v>
      </c>
      <c r="AD14" s="28"/>
    </row>
    <row r="15" spans="1:30" x14ac:dyDescent="0.2">
      <c r="A15"/>
      <c r="B15" s="5"/>
      <c r="C15" s="2"/>
      <c r="D15" s="1" t="s">
        <v>6</v>
      </c>
      <c r="E15" s="2"/>
      <c r="F15" s="3"/>
      <c r="G15" s="4"/>
      <c r="H15" s="84" t="e">
        <v>#DIV/0!</v>
      </c>
      <c r="I15" s="33"/>
      <c r="J15" s="28"/>
      <c r="L15" s="84" t="e">
        <v>#DIV/0!</v>
      </c>
      <c r="M15" s="33"/>
      <c r="N15" s="28"/>
      <c r="P15" s="84" t="e">
        <v>#DIV/0!</v>
      </c>
      <c r="Q15" s="33"/>
      <c r="R15" s="28"/>
      <c r="T15" s="84">
        <v>0</v>
      </c>
      <c r="U15" s="33"/>
      <c r="V15" s="28"/>
      <c r="X15" s="84">
        <v>0</v>
      </c>
      <c r="Y15" s="33"/>
      <c r="Z15" s="28"/>
      <c r="AB15" s="84">
        <v>0</v>
      </c>
      <c r="AC15" s="33"/>
      <c r="AD15" s="28"/>
    </row>
    <row r="16" spans="1:30" ht="16" thickBot="1" x14ac:dyDescent="0.25">
      <c r="B16" s="35"/>
      <c r="C16" s="36"/>
      <c r="D16" s="37" t="s">
        <v>7</v>
      </c>
      <c r="E16" s="36"/>
      <c r="F16" s="38"/>
      <c r="G16" s="39"/>
      <c r="H16" s="86">
        <f>+H11</f>
        <v>358804.10083333333</v>
      </c>
      <c r="I16" s="40"/>
      <c r="J16" s="39"/>
      <c r="L16" s="86">
        <f>+L11</f>
        <v>396108.26091954025</v>
      </c>
      <c r="M16" s="40"/>
      <c r="N16" s="39"/>
      <c r="P16" s="86">
        <f>+P11</f>
        <v>418969.10830459773</v>
      </c>
      <c r="Q16" s="40"/>
      <c r="R16" s="39"/>
      <c r="T16" s="86">
        <f>+T11</f>
        <v>241634.40857142856</v>
      </c>
      <c r="U16" s="40"/>
      <c r="V16" s="39"/>
      <c r="X16" s="30">
        <f>AVERAGE(H16,L16,P16,T16)</f>
        <v>353878.96965722495</v>
      </c>
      <c r="Y16" s="40"/>
      <c r="Z16" s="39"/>
      <c r="AB16" s="30">
        <f>+AB4/1.16</f>
        <v>301724.13793103449</v>
      </c>
      <c r="AC16" s="40"/>
      <c r="AD16" s="39"/>
    </row>
    <row r="17" spans="2:30" ht="16" thickTop="1" x14ac:dyDescent="0.2">
      <c r="B17" s="29"/>
      <c r="C17" s="26"/>
      <c r="D17" s="21"/>
      <c r="E17" s="26"/>
      <c r="F17" s="27"/>
      <c r="G17" s="28"/>
      <c r="H17" s="87"/>
      <c r="I17" s="31"/>
      <c r="J17" s="28"/>
      <c r="L17" s="87"/>
      <c r="M17" s="31"/>
      <c r="N17" s="28"/>
      <c r="P17" s="87"/>
      <c r="Q17" s="31"/>
      <c r="R17" s="28"/>
      <c r="T17" s="87"/>
      <c r="U17" s="31"/>
      <c r="V17" s="28"/>
      <c r="X17" s="87"/>
      <c r="Y17" s="31"/>
      <c r="Z17" s="28"/>
      <c r="AB17" s="87"/>
      <c r="AC17" s="31"/>
      <c r="AD17" s="28"/>
    </row>
    <row r="18" spans="2:30" x14ac:dyDescent="0.2">
      <c r="B18" s="41" t="s">
        <v>8</v>
      </c>
      <c r="C18" s="26"/>
      <c r="D18" s="26"/>
      <c r="E18" s="26"/>
      <c r="F18" s="27"/>
      <c r="G18" s="28"/>
      <c r="H18" s="87"/>
      <c r="I18" s="31"/>
      <c r="J18" s="28"/>
      <c r="L18" s="87"/>
      <c r="M18" s="31"/>
      <c r="N18" s="28"/>
      <c r="P18" s="87"/>
      <c r="Q18" s="31"/>
      <c r="R18" s="28"/>
      <c r="T18" s="87"/>
      <c r="U18" s="31"/>
      <c r="V18" s="28"/>
      <c r="X18" s="87"/>
      <c r="Y18" s="31"/>
      <c r="Z18" s="28"/>
      <c r="AB18" s="87"/>
      <c r="AC18" s="31"/>
      <c r="AD18" s="28"/>
    </row>
    <row r="19" spans="2:30" x14ac:dyDescent="0.2">
      <c r="B19" s="29"/>
      <c r="C19" s="26" t="s">
        <v>9</v>
      </c>
      <c r="D19" s="26"/>
      <c r="E19" s="26"/>
      <c r="F19" s="27"/>
      <c r="G19" s="28"/>
      <c r="H19" s="30">
        <v>108816.315</v>
      </c>
      <c r="I19" s="42">
        <v>0.31194674067206951</v>
      </c>
      <c r="J19" s="28"/>
      <c r="L19" s="30">
        <v>109964.86041666666</v>
      </c>
      <c r="M19" s="42">
        <v>0.28661859672894219</v>
      </c>
      <c r="N19" s="28"/>
      <c r="P19" s="30">
        <v>117045.31999999999</v>
      </c>
      <c r="Q19" s="42">
        <v>0.29309320167030795</v>
      </c>
      <c r="R19" s="28"/>
      <c r="T19" s="30">
        <v>73077.404285714292</v>
      </c>
      <c r="U19" s="42">
        <v>0.31530745242036667</v>
      </c>
      <c r="V19" s="28"/>
      <c r="X19" s="30">
        <f>AVERAGE(H19,L19,P19,T19)</f>
        <v>102225.97492559525</v>
      </c>
      <c r="Y19" s="42">
        <v>0.31530745242036667</v>
      </c>
      <c r="Z19" s="28"/>
      <c r="AB19" s="30">
        <f>+AC19*$AB$16</f>
        <v>95135.869264765817</v>
      </c>
      <c r="AC19" s="42">
        <v>0.31530745242036667</v>
      </c>
      <c r="AD19" s="28"/>
    </row>
    <row r="20" spans="2:30" x14ac:dyDescent="0.2">
      <c r="B20" s="29"/>
      <c r="C20" s="26" t="s">
        <v>10</v>
      </c>
      <c r="D20" s="26"/>
      <c r="E20" s="26"/>
      <c r="F20" s="27"/>
      <c r="G20" s="28"/>
      <c r="H20" s="30">
        <v>36019.276666666672</v>
      </c>
      <c r="I20" s="42">
        <v>0.10325745691289208</v>
      </c>
      <c r="J20" s="28"/>
      <c r="L20" s="30">
        <v>43517.541666666664</v>
      </c>
      <c r="M20" s="42">
        <v>0.11342656807212961</v>
      </c>
      <c r="N20" s="28"/>
      <c r="P20" s="30">
        <v>38200.383333333324</v>
      </c>
      <c r="Q20" s="42">
        <v>9.5657585080716909E-2</v>
      </c>
      <c r="R20" s="28"/>
      <c r="T20" s="30">
        <v>20266.640000000003</v>
      </c>
      <c r="U20" s="42">
        <v>8.4650087280847885E-2</v>
      </c>
      <c r="V20" s="28"/>
      <c r="X20" s="30">
        <f t="shared" ref="X20:X24" si="1">AVERAGE(H20,L20,P20,T20)</f>
        <v>34500.960416666669</v>
      </c>
      <c r="Y20" s="42">
        <v>8.4650087280847885E-2</v>
      </c>
      <c r="Z20" s="28"/>
      <c r="AB20" s="30">
        <f t="shared" ref="AB20:AB23" si="2">+AC20*$AB$16</f>
        <v>25540.974610600657</v>
      </c>
      <c r="AC20" s="42">
        <v>8.4650087280847885E-2</v>
      </c>
      <c r="AD20" s="28"/>
    </row>
    <row r="21" spans="2:30" x14ac:dyDescent="0.2">
      <c r="B21" s="29"/>
      <c r="C21" s="26" t="s">
        <v>54</v>
      </c>
      <c r="D21" s="26"/>
      <c r="E21" s="26"/>
      <c r="F21" s="27"/>
      <c r="G21" s="28"/>
      <c r="H21" s="30">
        <v>157.80000000000001</v>
      </c>
      <c r="I21" s="42">
        <v>4.5236962562142055E-4</v>
      </c>
      <c r="J21" s="28"/>
      <c r="L21" s="30">
        <v>266.18181818181819</v>
      </c>
      <c r="M21" s="42">
        <v>6.9379126125338104E-4</v>
      </c>
      <c r="N21" s="28"/>
      <c r="P21" s="30">
        <v>1439.0063636363636</v>
      </c>
      <c r="Q21" s="42">
        <v>3.6034160301507937E-3</v>
      </c>
      <c r="R21" s="28"/>
      <c r="T21" s="30">
        <v>0</v>
      </c>
      <c r="U21" s="42">
        <v>0</v>
      </c>
      <c r="V21" s="28"/>
      <c r="X21" s="30">
        <f t="shared" si="1"/>
        <v>465.74704545454546</v>
      </c>
      <c r="Y21" s="42">
        <v>0</v>
      </c>
      <c r="Z21" s="28"/>
      <c r="AB21" s="30">
        <f t="shared" si="2"/>
        <v>0</v>
      </c>
      <c r="AC21" s="42">
        <v>0</v>
      </c>
      <c r="AD21" s="28"/>
    </row>
    <row r="22" spans="2:30" x14ac:dyDescent="0.2">
      <c r="B22" s="29"/>
      <c r="C22" s="26" t="s">
        <v>55</v>
      </c>
      <c r="D22" s="26"/>
      <c r="E22" s="26"/>
      <c r="F22" s="27"/>
      <c r="G22" s="28"/>
      <c r="H22" s="30">
        <v>0</v>
      </c>
      <c r="I22" s="42">
        <v>0</v>
      </c>
      <c r="J22" s="28"/>
      <c r="L22" s="30">
        <v>0</v>
      </c>
      <c r="M22" s="42">
        <v>0</v>
      </c>
      <c r="N22" s="28"/>
      <c r="P22" s="30">
        <v>0</v>
      </c>
      <c r="Q22" s="42">
        <v>0</v>
      </c>
      <c r="R22" s="28"/>
      <c r="T22" s="30">
        <v>0</v>
      </c>
      <c r="U22" s="42">
        <v>0</v>
      </c>
      <c r="V22" s="28"/>
      <c r="X22" s="30">
        <f t="shared" si="1"/>
        <v>0</v>
      </c>
      <c r="Y22" s="42">
        <v>0</v>
      </c>
      <c r="Z22" s="28"/>
      <c r="AB22" s="30">
        <f t="shared" si="2"/>
        <v>0</v>
      </c>
      <c r="AC22" s="42">
        <v>0</v>
      </c>
      <c r="AD22" s="28"/>
    </row>
    <row r="23" spans="2:30" x14ac:dyDescent="0.2">
      <c r="B23" s="29"/>
      <c r="C23" s="26" t="s">
        <v>56</v>
      </c>
      <c r="D23" s="26"/>
      <c r="E23" s="26"/>
      <c r="F23" s="27"/>
      <c r="G23" s="28"/>
      <c r="H23" s="30">
        <v>0</v>
      </c>
      <c r="I23" s="42">
        <v>0</v>
      </c>
      <c r="J23" s="28"/>
      <c r="L23" s="30">
        <v>0</v>
      </c>
      <c r="M23" s="42">
        <v>0</v>
      </c>
      <c r="N23" s="28"/>
      <c r="P23" s="30">
        <v>0</v>
      </c>
      <c r="Q23" s="42">
        <v>0</v>
      </c>
      <c r="R23" s="28"/>
      <c r="T23" s="30">
        <v>0</v>
      </c>
      <c r="U23" s="42">
        <v>0</v>
      </c>
      <c r="V23" s="28"/>
      <c r="X23" s="30">
        <f t="shared" si="1"/>
        <v>0</v>
      </c>
      <c r="Y23" s="42">
        <v>0</v>
      </c>
      <c r="Z23" s="28"/>
      <c r="AB23" s="30">
        <f t="shared" si="2"/>
        <v>0</v>
      </c>
      <c r="AC23" s="42">
        <v>0</v>
      </c>
      <c r="AD23" s="28"/>
    </row>
    <row r="24" spans="2:30" x14ac:dyDescent="0.2">
      <c r="B24" s="29"/>
      <c r="C24" s="26"/>
      <c r="D24" s="21" t="s">
        <v>11</v>
      </c>
      <c r="E24" s="26"/>
      <c r="F24" s="27"/>
      <c r="G24" s="28"/>
      <c r="H24" s="84">
        <v>144967.09166666665</v>
      </c>
      <c r="I24" s="43">
        <v>0.40402852511990861</v>
      </c>
      <c r="J24" s="28"/>
      <c r="L24" s="84">
        <v>153726.40208333332</v>
      </c>
      <c r="M24" s="43">
        <v>0.38809188610827555</v>
      </c>
      <c r="N24" s="28"/>
      <c r="P24" s="84">
        <v>156564.79250000001</v>
      </c>
      <c r="Q24" s="43">
        <v>0.373690540416108</v>
      </c>
      <c r="R24" s="28"/>
      <c r="T24" s="84">
        <v>93344.044285714292</v>
      </c>
      <c r="U24" s="43">
        <v>0.38746585644084269</v>
      </c>
      <c r="V24" s="28"/>
      <c r="X24" s="84">
        <f t="shared" si="1"/>
        <v>137150.58263392857</v>
      </c>
      <c r="Y24" s="43">
        <v>0.38746585644084269</v>
      </c>
      <c r="Z24" s="28"/>
      <c r="AB24" s="84">
        <f>SUM(AB19:AB23)</f>
        <v>120676.84387536647</v>
      </c>
      <c r="AC24" s="43">
        <v>0.38746585644084269</v>
      </c>
      <c r="AD24" s="28"/>
    </row>
    <row r="25" spans="2:30" x14ac:dyDescent="0.2">
      <c r="B25" s="29"/>
      <c r="C25" s="26"/>
      <c r="D25" s="26"/>
      <c r="E25" s="26"/>
      <c r="F25" s="27"/>
      <c r="G25" s="28"/>
      <c r="H25" s="87"/>
      <c r="I25" s="31"/>
      <c r="J25" s="28"/>
      <c r="L25" s="87"/>
      <c r="M25" s="31"/>
      <c r="N25" s="28"/>
      <c r="P25" s="87"/>
      <c r="Q25" s="31"/>
      <c r="R25" s="28"/>
      <c r="T25" s="87"/>
      <c r="U25" s="31"/>
      <c r="V25" s="28"/>
      <c r="X25" s="87"/>
      <c r="Y25" s="31"/>
      <c r="Z25" s="28"/>
      <c r="AB25" s="87"/>
      <c r="AC25" s="31"/>
      <c r="AD25" s="28"/>
    </row>
    <row r="26" spans="2:30" x14ac:dyDescent="0.2">
      <c r="B26" s="29"/>
      <c r="C26" s="26" t="s">
        <v>12</v>
      </c>
      <c r="D26" s="26"/>
      <c r="E26" s="26"/>
      <c r="F26" s="27"/>
      <c r="G26" s="28"/>
      <c r="H26" s="30">
        <v>0</v>
      </c>
      <c r="I26" s="44">
        <v>0</v>
      </c>
      <c r="J26" s="28"/>
      <c r="L26" s="30">
        <v>0</v>
      </c>
      <c r="M26" s="44">
        <v>0</v>
      </c>
      <c r="N26" s="28"/>
      <c r="P26" s="30">
        <v>0</v>
      </c>
      <c r="Q26" s="44">
        <v>0</v>
      </c>
      <c r="R26" s="28"/>
      <c r="T26" s="30">
        <v>0</v>
      </c>
      <c r="U26" s="44">
        <v>0</v>
      </c>
      <c r="V26" s="28"/>
      <c r="X26" s="30">
        <f t="shared" ref="X26:X29" si="3">AVERAGE(H26,L26,P26,T26)</f>
        <v>0</v>
      </c>
      <c r="Y26" s="44">
        <v>0</v>
      </c>
      <c r="Z26" s="28"/>
      <c r="AB26" s="30">
        <v>0</v>
      </c>
      <c r="AC26" s="44">
        <v>0</v>
      </c>
      <c r="AD26" s="28"/>
    </row>
    <row r="27" spans="2:30" x14ac:dyDescent="0.2">
      <c r="B27" s="29"/>
      <c r="C27" s="34" t="s">
        <v>57</v>
      </c>
      <c r="D27" s="34"/>
      <c r="E27" s="26"/>
      <c r="F27" s="27"/>
      <c r="G27" s="28"/>
      <c r="H27" s="30">
        <v>0</v>
      </c>
      <c r="I27" s="44">
        <v>0</v>
      </c>
      <c r="J27" s="28"/>
      <c r="L27" s="30">
        <v>0</v>
      </c>
      <c r="M27" s="44">
        <v>0</v>
      </c>
      <c r="N27" s="28"/>
      <c r="P27" s="30">
        <v>0</v>
      </c>
      <c r="Q27" s="44">
        <v>0</v>
      </c>
      <c r="R27" s="28"/>
      <c r="T27" s="30">
        <v>0</v>
      </c>
      <c r="U27" s="44">
        <v>0</v>
      </c>
      <c r="V27" s="28"/>
      <c r="X27" s="30">
        <f t="shared" si="3"/>
        <v>0</v>
      </c>
      <c r="Y27" s="44">
        <v>0</v>
      </c>
      <c r="Z27" s="28"/>
      <c r="AB27" s="30">
        <v>0</v>
      </c>
      <c r="AC27" s="44">
        <v>0</v>
      </c>
      <c r="AD27" s="28"/>
    </row>
    <row r="28" spans="2:30" x14ac:dyDescent="0.2">
      <c r="B28" s="29"/>
      <c r="C28" s="45"/>
      <c r="D28" s="21" t="s">
        <v>13</v>
      </c>
      <c r="E28" s="26"/>
      <c r="F28" s="27"/>
      <c r="G28" s="28"/>
      <c r="H28" s="84">
        <v>0</v>
      </c>
      <c r="I28" s="43">
        <v>0</v>
      </c>
      <c r="J28" s="28"/>
      <c r="L28" s="84">
        <v>0</v>
      </c>
      <c r="M28" s="43">
        <v>0</v>
      </c>
      <c r="N28" s="28"/>
      <c r="P28" s="84">
        <v>0</v>
      </c>
      <c r="Q28" s="43">
        <v>0</v>
      </c>
      <c r="R28" s="28"/>
      <c r="T28" s="84">
        <v>0</v>
      </c>
      <c r="U28" s="43">
        <v>0</v>
      </c>
      <c r="V28" s="28"/>
      <c r="X28" s="84">
        <f t="shared" si="3"/>
        <v>0</v>
      </c>
      <c r="Y28" s="43">
        <v>0</v>
      </c>
      <c r="Z28" s="28"/>
      <c r="AB28" s="84">
        <v>0</v>
      </c>
      <c r="AC28" s="43">
        <v>0</v>
      </c>
      <c r="AD28" s="28"/>
    </row>
    <row r="29" spans="2:30" ht="16" thickBot="1" x14ac:dyDescent="0.25">
      <c r="B29" s="35"/>
      <c r="C29" s="46"/>
      <c r="D29" s="37" t="s">
        <v>14</v>
      </c>
      <c r="E29" s="36"/>
      <c r="F29" s="38"/>
      <c r="G29" s="39"/>
      <c r="H29" s="86">
        <v>144967.09166666665</v>
      </c>
      <c r="I29" s="47">
        <v>0.40402852511990861</v>
      </c>
      <c r="J29" s="39"/>
      <c r="L29" s="86">
        <v>153726.40208333332</v>
      </c>
      <c r="M29" s="47">
        <v>0.38809188610827555</v>
      </c>
      <c r="N29" s="39"/>
      <c r="P29" s="86">
        <v>156564.79250000001</v>
      </c>
      <c r="Q29" s="47">
        <v>0.373690540416108</v>
      </c>
      <c r="R29" s="39"/>
      <c r="T29" s="86">
        <v>93344.044285714292</v>
      </c>
      <c r="U29" s="47">
        <v>0.38746585644084269</v>
      </c>
      <c r="V29" s="39"/>
      <c r="X29" s="86">
        <f t="shared" si="3"/>
        <v>137150.58263392857</v>
      </c>
      <c r="Y29" s="47">
        <v>0.38746585644084269</v>
      </c>
      <c r="Z29" s="39"/>
      <c r="AB29" s="86">
        <f>+AB28+AB24</f>
        <v>120676.84387536647</v>
      </c>
      <c r="AC29" s="47">
        <v>0.38746585644084269</v>
      </c>
      <c r="AD29" s="39"/>
    </row>
    <row r="30" spans="2:30" ht="16" thickTop="1" x14ac:dyDescent="0.2">
      <c r="B30" s="29"/>
      <c r="C30" s="26"/>
      <c r="D30" s="26"/>
      <c r="E30" s="21"/>
      <c r="F30" s="26"/>
      <c r="G30" s="28"/>
      <c r="H30" s="87"/>
      <c r="I30" s="31"/>
      <c r="J30" s="28"/>
      <c r="L30" s="87"/>
      <c r="M30" s="31"/>
      <c r="N30" s="28"/>
      <c r="P30" s="87"/>
      <c r="Q30" s="31"/>
      <c r="R30" s="28"/>
      <c r="T30" s="87"/>
      <c r="U30" s="31"/>
      <c r="V30" s="28"/>
      <c r="X30" s="87"/>
      <c r="Y30" s="31"/>
      <c r="Z30" s="28"/>
      <c r="AB30" s="87"/>
      <c r="AC30" s="31"/>
      <c r="AD30" s="28"/>
    </row>
    <row r="31" spans="2:30" x14ac:dyDescent="0.2">
      <c r="B31" s="41" t="s">
        <v>15</v>
      </c>
      <c r="C31" s="26"/>
      <c r="D31" s="26"/>
      <c r="E31" s="26"/>
      <c r="F31" s="26"/>
      <c r="G31" s="28"/>
      <c r="H31" s="87"/>
      <c r="I31" s="31"/>
      <c r="J31" s="28"/>
      <c r="L31" s="87"/>
      <c r="M31" s="31"/>
      <c r="N31" s="28"/>
      <c r="P31" s="87"/>
      <c r="Q31" s="31"/>
      <c r="R31" s="28"/>
      <c r="T31" s="87"/>
      <c r="U31" s="31"/>
      <c r="V31" s="28"/>
      <c r="X31" s="87"/>
      <c r="Y31" s="31"/>
      <c r="Z31" s="28"/>
      <c r="AB31" s="87"/>
      <c r="AC31" s="31"/>
      <c r="AD31" s="28"/>
    </row>
    <row r="32" spans="2:30" x14ac:dyDescent="0.2">
      <c r="B32" s="29"/>
      <c r="C32" s="26" t="s">
        <v>16</v>
      </c>
      <c r="D32" s="77"/>
      <c r="E32" s="66"/>
      <c r="F32" s="66"/>
      <c r="G32" s="28"/>
      <c r="H32" s="87"/>
      <c r="I32" s="31"/>
      <c r="J32" s="28"/>
      <c r="L32" s="87"/>
      <c r="M32" s="31"/>
      <c r="N32" s="28"/>
      <c r="P32" s="87"/>
      <c r="Q32" s="31"/>
      <c r="R32" s="28"/>
      <c r="T32" s="87"/>
      <c r="U32" s="31"/>
      <c r="V32" s="28"/>
      <c r="X32" s="87"/>
      <c r="Y32" s="31"/>
      <c r="Z32" s="28"/>
      <c r="AB32" s="87"/>
      <c r="AC32" s="31"/>
      <c r="AD32" s="28"/>
    </row>
    <row r="33" spans="1:30" x14ac:dyDescent="0.2">
      <c r="B33" s="29"/>
      <c r="C33" s="26"/>
      <c r="D33" s="66" t="s">
        <v>16</v>
      </c>
      <c r="E33" s="66"/>
      <c r="F33" s="66"/>
      <c r="G33" s="28"/>
      <c r="H33" s="30">
        <v>37812.695833333331</v>
      </c>
      <c r="I33" s="44">
        <v>0.10538535023850677</v>
      </c>
      <c r="J33" s="28"/>
      <c r="L33" s="30">
        <v>39405.854166666664</v>
      </c>
      <c r="M33" s="44">
        <v>9.94825355956689E-2</v>
      </c>
      <c r="N33" s="28"/>
      <c r="P33" s="30">
        <v>42743.441666666666</v>
      </c>
      <c r="Q33" s="44">
        <v>0.10202050895740851</v>
      </c>
      <c r="R33" s="28"/>
      <c r="T33" s="30">
        <v>38017.222857142857</v>
      </c>
      <c r="U33" s="44">
        <v>0.16207648957319273</v>
      </c>
      <c r="V33" s="28"/>
      <c r="X33" s="30">
        <f t="shared" ref="X33:X37" si="4">AVERAGE(H33,L33,P33,T33)</f>
        <v>39494.803630952374</v>
      </c>
      <c r="Y33" s="44">
        <v>0.16207648957319273</v>
      </c>
      <c r="Z33" s="28"/>
      <c r="AB33" s="30">
        <v>39490</v>
      </c>
      <c r="AC33" s="44">
        <v>0.16207648957319273</v>
      </c>
      <c r="AD33" s="28"/>
    </row>
    <row r="34" spans="1:30" x14ac:dyDescent="0.2">
      <c r="B34" s="29"/>
      <c r="C34" s="66"/>
      <c r="D34" s="66" t="s">
        <v>48</v>
      </c>
      <c r="E34" s="66"/>
      <c r="F34" s="66"/>
      <c r="G34" s="28"/>
      <c r="H34" s="30">
        <v>1767.760833333333</v>
      </c>
      <c r="I34" s="44">
        <v>4.9268133480850837E-3</v>
      </c>
      <c r="J34" s="28"/>
      <c r="L34" s="30">
        <v>1088.5310000000002</v>
      </c>
      <c r="M34" s="44">
        <v>2.748064373797821E-3</v>
      </c>
      <c r="N34" s="28"/>
      <c r="P34" s="30">
        <v>1064.4525000000001</v>
      </c>
      <c r="Q34" s="44">
        <v>2.5406467419696369E-3</v>
      </c>
      <c r="R34" s="28"/>
      <c r="T34" s="30">
        <v>1032.8157142857142</v>
      </c>
      <c r="U34" s="44">
        <v>4.6220000280433483E-3</v>
      </c>
      <c r="V34" s="28"/>
      <c r="X34" s="30">
        <f t="shared" si="4"/>
        <v>1238.3900119047619</v>
      </c>
      <c r="Y34" s="44">
        <v>4.6220000280433483E-3</v>
      </c>
      <c r="Z34" s="28"/>
      <c r="AB34" s="30">
        <f t="shared" ref="AB34:AB36" si="5">+AC34*$AB$16</f>
        <v>1394.5689739785964</v>
      </c>
      <c r="AC34" s="44">
        <v>4.6220000280433483E-3</v>
      </c>
      <c r="AD34" s="28"/>
    </row>
    <row r="35" spans="1:30" x14ac:dyDescent="0.2">
      <c r="A35"/>
      <c r="B35" s="5"/>
      <c r="C35" s="76"/>
      <c r="D35" s="76" t="s">
        <v>49</v>
      </c>
      <c r="E35" s="76"/>
      <c r="F35" s="76"/>
      <c r="G35" s="4"/>
      <c r="H35" s="30">
        <v>107</v>
      </c>
      <c r="I35" s="44">
        <v>2.982128681124025E-4</v>
      </c>
      <c r="J35" s="28"/>
      <c r="L35" s="30">
        <v>200</v>
      </c>
      <c r="M35" s="44">
        <v>5.049124689692476E-4</v>
      </c>
      <c r="N35" s="28"/>
      <c r="P35" s="30">
        <v>0</v>
      </c>
      <c r="Q35" s="44">
        <v>0</v>
      </c>
      <c r="R35" s="28"/>
      <c r="T35" s="30">
        <v>0</v>
      </c>
      <c r="U35" s="44">
        <v>0</v>
      </c>
      <c r="V35" s="28"/>
      <c r="X35" s="30">
        <f t="shared" si="4"/>
        <v>76.75</v>
      </c>
      <c r="Y35" s="44">
        <v>0</v>
      </c>
      <c r="Z35" s="28"/>
      <c r="AB35" s="30">
        <f t="shared" si="5"/>
        <v>0</v>
      </c>
      <c r="AC35" s="44">
        <v>0</v>
      </c>
      <c r="AD35" s="28"/>
    </row>
    <row r="36" spans="1:30" x14ac:dyDescent="0.2">
      <c r="A36"/>
      <c r="B36" s="5"/>
      <c r="C36" s="76"/>
      <c r="D36" s="76" t="s">
        <v>47</v>
      </c>
      <c r="E36" s="76"/>
      <c r="F36" s="76"/>
      <c r="G36" s="4"/>
      <c r="H36" s="30">
        <v>3777.7777777777778</v>
      </c>
      <c r="I36" s="44">
        <v>1.0528803235536536E-2</v>
      </c>
      <c r="J36" s="28"/>
      <c r="L36" s="30">
        <v>3777.7777777777778</v>
      </c>
      <c r="M36" s="44">
        <v>9.5372355249746764E-3</v>
      </c>
      <c r="N36" s="28"/>
      <c r="P36" s="30">
        <v>2833.3333333333335</v>
      </c>
      <c r="Q36" s="44">
        <v>6.7626306502613347E-3</v>
      </c>
      <c r="R36" s="28"/>
      <c r="T36" s="30">
        <v>2428.5714285714284</v>
      </c>
      <c r="U36" s="44">
        <v>9.9496908203774385E-3</v>
      </c>
      <c r="V36" s="28"/>
      <c r="X36" s="30">
        <f t="shared" si="4"/>
        <v>3204.3650793650795</v>
      </c>
      <c r="Y36" s="44">
        <v>9.9496908203774385E-3</v>
      </c>
      <c r="Z36" s="28"/>
      <c r="AB36" s="30">
        <f t="shared" si="5"/>
        <v>3002.0618854587101</v>
      </c>
      <c r="AC36" s="44">
        <v>9.9496908203774385E-3</v>
      </c>
      <c r="AD36" s="28"/>
    </row>
    <row r="37" spans="1:30" x14ac:dyDescent="0.2">
      <c r="A37"/>
      <c r="B37" s="5"/>
      <c r="C37" s="78" t="s">
        <v>17</v>
      </c>
      <c r="D37" s="76"/>
      <c r="E37" s="76"/>
      <c r="F37" s="76"/>
      <c r="G37" s="4"/>
      <c r="H37" s="84">
        <v>42502.956666666665</v>
      </c>
      <c r="I37" s="43">
        <v>0.11845727673667127</v>
      </c>
      <c r="J37" s="28"/>
      <c r="L37" s="84">
        <v>43312.963333333333</v>
      </c>
      <c r="M37" s="43">
        <v>0.10934627627503914</v>
      </c>
      <c r="N37" s="28"/>
      <c r="P37" s="84">
        <v>46641.227500000001</v>
      </c>
      <c r="Q37" s="43">
        <v>0.11132378634963948</v>
      </c>
      <c r="R37" s="28"/>
      <c r="T37" s="84">
        <v>41478.609999999993</v>
      </c>
      <c r="U37" s="43">
        <v>0.17664818042161348</v>
      </c>
      <c r="V37" s="28"/>
      <c r="X37" s="84">
        <f t="shared" si="4"/>
        <v>43483.939374999994</v>
      </c>
      <c r="Y37" s="43">
        <v>0.17664818042161348</v>
      </c>
      <c r="Z37" s="28"/>
      <c r="AB37" s="84">
        <f>SUM(AB33:AB36)</f>
        <v>43886.630859437304</v>
      </c>
      <c r="AC37" s="43">
        <v>0.17664818042161348</v>
      </c>
      <c r="AD37" s="28"/>
    </row>
    <row r="38" spans="1:30" x14ac:dyDescent="0.2">
      <c r="B38" s="29"/>
      <c r="C38" s="66"/>
      <c r="D38" s="66"/>
      <c r="E38" s="66"/>
      <c r="F38" s="66"/>
      <c r="G38" s="28"/>
      <c r="H38" s="87"/>
      <c r="I38" s="31"/>
      <c r="J38" s="28"/>
      <c r="L38" s="87"/>
      <c r="M38" s="31"/>
      <c r="N38" s="28"/>
      <c r="P38" s="87"/>
      <c r="Q38" s="31"/>
      <c r="R38" s="28"/>
      <c r="T38" s="87"/>
      <c r="U38" s="31"/>
      <c r="V38" s="28"/>
      <c r="X38" s="87"/>
      <c r="Y38" s="31"/>
      <c r="Z38" s="28"/>
      <c r="AB38" s="87"/>
      <c r="AC38" s="31"/>
      <c r="AD38" s="28"/>
    </row>
    <row r="39" spans="1:30" x14ac:dyDescent="0.2">
      <c r="B39" s="29"/>
      <c r="C39" s="66" t="s">
        <v>18</v>
      </c>
      <c r="D39" s="66"/>
      <c r="E39" s="66"/>
      <c r="F39" s="66"/>
      <c r="G39" s="28"/>
      <c r="H39" s="87"/>
      <c r="I39" s="31"/>
      <c r="J39" s="28"/>
      <c r="L39" s="87"/>
      <c r="M39" s="31"/>
      <c r="N39" s="28"/>
      <c r="P39" s="87"/>
      <c r="Q39" s="31"/>
      <c r="R39" s="28"/>
      <c r="T39" s="87"/>
      <c r="U39" s="31"/>
      <c r="V39" s="28"/>
      <c r="X39" s="87"/>
      <c r="Y39" s="31"/>
      <c r="Z39" s="28"/>
      <c r="AB39" s="87"/>
      <c r="AC39" s="31"/>
      <c r="AD39" s="28"/>
    </row>
    <row r="40" spans="1:30" x14ac:dyDescent="0.2">
      <c r="B40" s="29"/>
      <c r="C40" s="66"/>
      <c r="D40" s="66" t="s">
        <v>19</v>
      </c>
      <c r="E40" s="66"/>
      <c r="F40" s="66"/>
      <c r="G40" s="28"/>
      <c r="H40" s="30">
        <v>595.91666666666663</v>
      </c>
      <c r="I40" s="42">
        <v>1.660841292735039E-3</v>
      </c>
      <c r="J40" s="28"/>
      <c r="L40" s="30">
        <v>320.95833333333331</v>
      </c>
      <c r="M40" s="42">
        <v>8.1027932259794045E-4</v>
      </c>
      <c r="N40" s="28"/>
      <c r="P40" s="30">
        <v>367.125</v>
      </c>
      <c r="Q40" s="42">
        <v>8.7625792146253851E-4</v>
      </c>
      <c r="R40" s="28"/>
      <c r="T40" s="30">
        <v>328.57142857142856</v>
      </c>
      <c r="U40" s="42">
        <v>1.4993814790636867E-3</v>
      </c>
      <c r="V40" s="28"/>
      <c r="X40" s="30">
        <f t="shared" ref="X40:X44" si="6">AVERAGE(H40,L40,P40,T40)</f>
        <v>403.14285714285711</v>
      </c>
      <c r="Y40" s="42">
        <v>1.4993814790636867E-3</v>
      </c>
      <c r="Z40" s="28"/>
      <c r="AB40" s="30">
        <f>+AC40*$AB$16</f>
        <v>452.39958420025027</v>
      </c>
      <c r="AC40" s="42">
        <v>1.4993814790636867E-3</v>
      </c>
      <c r="AD40" s="28"/>
    </row>
    <row r="41" spans="1:30" x14ac:dyDescent="0.2">
      <c r="B41" s="29"/>
      <c r="C41" s="66"/>
      <c r="D41" s="66" t="s">
        <v>38</v>
      </c>
      <c r="E41" s="66"/>
      <c r="F41" s="66"/>
      <c r="G41" s="28"/>
      <c r="H41" s="30">
        <v>0</v>
      </c>
      <c r="I41" s="42">
        <v>0</v>
      </c>
      <c r="J41" s="28"/>
      <c r="L41" s="30">
        <v>0</v>
      </c>
      <c r="M41" s="42">
        <v>0</v>
      </c>
      <c r="N41" s="28"/>
      <c r="P41" s="30">
        <v>0</v>
      </c>
      <c r="Q41" s="42">
        <v>0</v>
      </c>
      <c r="R41" s="28"/>
      <c r="T41" s="30">
        <v>0</v>
      </c>
      <c r="U41" s="42">
        <v>0</v>
      </c>
      <c r="V41" s="28"/>
      <c r="X41" s="30">
        <f t="shared" si="6"/>
        <v>0</v>
      </c>
      <c r="Y41" s="42">
        <v>0</v>
      </c>
      <c r="Z41" s="28"/>
      <c r="AB41" s="30">
        <f t="shared" ref="AB41:AB43" si="7">+AC41*$AB$16</f>
        <v>0</v>
      </c>
      <c r="AC41" s="42">
        <v>0</v>
      </c>
      <c r="AD41" s="28"/>
    </row>
    <row r="42" spans="1:30" x14ac:dyDescent="0.2">
      <c r="B42" s="29"/>
      <c r="C42" s="66"/>
      <c r="D42" s="66" t="s">
        <v>20</v>
      </c>
      <c r="E42" s="66"/>
      <c r="F42" s="66"/>
      <c r="G42" s="28"/>
      <c r="H42" s="30">
        <v>0</v>
      </c>
      <c r="I42" s="42">
        <v>0</v>
      </c>
      <c r="J42" s="28"/>
      <c r="L42" s="30">
        <v>0</v>
      </c>
      <c r="M42" s="42">
        <v>0</v>
      </c>
      <c r="N42" s="28"/>
      <c r="P42" s="30">
        <v>0</v>
      </c>
      <c r="Q42" s="42">
        <v>0</v>
      </c>
      <c r="R42" s="28"/>
      <c r="T42" s="30">
        <v>0</v>
      </c>
      <c r="U42" s="42">
        <v>0</v>
      </c>
      <c r="V42" s="28"/>
      <c r="X42" s="30">
        <f t="shared" si="6"/>
        <v>0</v>
      </c>
      <c r="Y42" s="42">
        <v>0</v>
      </c>
      <c r="Z42" s="28"/>
      <c r="AB42" s="30">
        <f t="shared" si="7"/>
        <v>0</v>
      </c>
      <c r="AC42" s="42">
        <v>0</v>
      </c>
      <c r="AD42" s="28"/>
    </row>
    <row r="43" spans="1:30" x14ac:dyDescent="0.2">
      <c r="B43" s="29"/>
      <c r="C43" s="26"/>
      <c r="D43" s="26" t="s">
        <v>50</v>
      </c>
      <c r="E43" s="26"/>
      <c r="F43" s="26"/>
      <c r="G43" s="28"/>
      <c r="H43" s="30">
        <v>0</v>
      </c>
      <c r="I43" s="42">
        <v>0</v>
      </c>
      <c r="J43" s="28"/>
      <c r="L43" s="30">
        <v>0</v>
      </c>
      <c r="M43" s="42">
        <v>0</v>
      </c>
      <c r="N43" s="28"/>
      <c r="P43" s="30">
        <v>0</v>
      </c>
      <c r="Q43" s="42">
        <v>0</v>
      </c>
      <c r="R43" s="28"/>
      <c r="T43" s="30">
        <v>0</v>
      </c>
      <c r="U43" s="42">
        <v>0</v>
      </c>
      <c r="V43" s="28"/>
      <c r="X43" s="30">
        <f t="shared" si="6"/>
        <v>0</v>
      </c>
      <c r="Y43" s="42">
        <v>0</v>
      </c>
      <c r="Z43" s="28"/>
      <c r="AB43" s="30">
        <f t="shared" si="7"/>
        <v>0</v>
      </c>
      <c r="AC43" s="42">
        <v>0</v>
      </c>
      <c r="AD43" s="28"/>
    </row>
    <row r="44" spans="1:30" x14ac:dyDescent="0.2">
      <c r="B44" s="29"/>
      <c r="C44" s="21" t="s">
        <v>21</v>
      </c>
      <c r="D44" s="26"/>
      <c r="E44" s="26"/>
      <c r="F44" s="26"/>
      <c r="G44" s="28"/>
      <c r="H44" s="84">
        <v>595.91666666666663</v>
      </c>
      <c r="I44" s="43">
        <v>1.660841292735039E-3</v>
      </c>
      <c r="J44" s="28"/>
      <c r="L44" s="84">
        <v>320.95833333333331</v>
      </c>
      <c r="M44" s="43">
        <v>8.1027932259794045E-4</v>
      </c>
      <c r="N44" s="28"/>
      <c r="P44" s="84">
        <v>367.125</v>
      </c>
      <c r="Q44" s="43">
        <v>8.7625792146253851E-4</v>
      </c>
      <c r="R44" s="28"/>
      <c r="T44" s="84">
        <v>328.57142857142856</v>
      </c>
      <c r="U44" s="43">
        <v>1.4993814790636867E-3</v>
      </c>
      <c r="V44" s="28"/>
      <c r="X44" s="84">
        <f t="shared" si="6"/>
        <v>403.14285714285711</v>
      </c>
      <c r="Y44" s="43">
        <v>1.4993814790636867E-3</v>
      </c>
      <c r="Z44" s="28"/>
      <c r="AB44" s="84">
        <f>SUM(AB40:AB43)</f>
        <v>452.39958420025027</v>
      </c>
      <c r="AC44" s="43">
        <v>1.4993814790636867E-3</v>
      </c>
      <c r="AD44" s="28"/>
    </row>
    <row r="45" spans="1:30" x14ac:dyDescent="0.2">
      <c r="B45" s="29"/>
      <c r="C45" s="26"/>
      <c r="D45" s="26"/>
      <c r="E45" s="26"/>
      <c r="F45" s="26"/>
      <c r="G45" s="28"/>
      <c r="H45" s="87"/>
      <c r="I45" s="31"/>
      <c r="J45" s="28"/>
      <c r="L45" s="87"/>
      <c r="M45" s="31"/>
      <c r="N45" s="28"/>
      <c r="P45" s="87"/>
      <c r="Q45" s="31"/>
      <c r="R45" s="28"/>
      <c r="T45" s="87" t="e">
        <v>#DIV/0!</v>
      </c>
      <c r="U45" s="31" t="e">
        <v>#DIV/0!</v>
      </c>
      <c r="V45" s="28"/>
      <c r="X45" s="87" t="e">
        <v>#DIV/0!</v>
      </c>
      <c r="Y45" s="31" t="e">
        <v>#DIV/0!</v>
      </c>
      <c r="Z45" s="28"/>
      <c r="AB45" s="87" t="e">
        <v>#DIV/0!</v>
      </c>
      <c r="AC45" s="31" t="e">
        <v>#DIV/0!</v>
      </c>
      <c r="AD45" s="28"/>
    </row>
    <row r="46" spans="1:30" ht="16" thickBot="1" x14ac:dyDescent="0.25">
      <c r="B46" s="35"/>
      <c r="C46" s="36"/>
      <c r="D46" s="37" t="s">
        <v>22</v>
      </c>
      <c r="E46" s="36"/>
      <c r="F46" s="36"/>
      <c r="G46" s="39"/>
      <c r="H46" s="86">
        <v>43098.873333333329</v>
      </c>
      <c r="I46" s="47">
        <v>0.12011811802940629</v>
      </c>
      <c r="J46" s="39"/>
      <c r="L46" s="86">
        <v>43633.921666666669</v>
      </c>
      <c r="M46" s="47">
        <v>0.11015655559763708</v>
      </c>
      <c r="N46" s="39"/>
      <c r="P46" s="86">
        <v>47008.352500000001</v>
      </c>
      <c r="Q46" s="47">
        <v>0.11220004427110201</v>
      </c>
      <c r="R46" s="39"/>
      <c r="T46" s="86">
        <v>41807.181428571421</v>
      </c>
      <c r="U46" s="47">
        <v>0.17814756190067715</v>
      </c>
      <c r="V46" s="39"/>
      <c r="X46" s="86">
        <f>AVERAGE(H46,L46,P46,T46)</f>
        <v>43887.082232142857</v>
      </c>
      <c r="Y46" s="47">
        <v>0.17814756190067715</v>
      </c>
      <c r="Z46" s="39"/>
      <c r="AB46" s="86">
        <f>+AB44+AB37</f>
        <v>44339.030443637552</v>
      </c>
      <c r="AC46" s="47">
        <v>0.17814756190067715</v>
      </c>
      <c r="AD46" s="39"/>
    </row>
    <row r="47" spans="1:30" ht="16" thickTop="1" x14ac:dyDescent="0.2">
      <c r="B47" s="29"/>
      <c r="C47" s="26"/>
      <c r="D47" s="21"/>
      <c r="E47" s="26"/>
      <c r="F47" s="26"/>
      <c r="G47" s="28"/>
      <c r="H47" s="87"/>
      <c r="I47" s="31"/>
      <c r="J47" s="28"/>
      <c r="L47" s="87"/>
      <c r="M47" s="31"/>
      <c r="N47" s="28"/>
      <c r="P47" s="87"/>
      <c r="Q47" s="31"/>
      <c r="R47" s="28"/>
      <c r="T47" s="87"/>
      <c r="U47" s="31"/>
      <c r="V47" s="28"/>
      <c r="X47" s="87"/>
      <c r="Y47" s="31"/>
      <c r="Z47" s="28"/>
      <c r="AB47" s="87"/>
      <c r="AC47" s="31"/>
      <c r="AD47" s="28"/>
    </row>
    <row r="48" spans="1:30" x14ac:dyDescent="0.2">
      <c r="B48" s="48"/>
      <c r="C48" s="49"/>
      <c r="D48" s="50" t="s">
        <v>23</v>
      </c>
      <c r="E48" s="51"/>
      <c r="F48" s="52"/>
      <c r="G48" s="53"/>
      <c r="H48" s="88">
        <v>188065.965</v>
      </c>
      <c r="I48" s="54" t="e">
        <v>#DIV/0!</v>
      </c>
      <c r="J48" s="55"/>
      <c r="L48" s="88">
        <v>197360.32375000001</v>
      </c>
      <c r="M48" s="54" t="e">
        <v>#DIV/0!</v>
      </c>
      <c r="N48" s="55"/>
      <c r="P48" s="88">
        <v>203573.14499999999</v>
      </c>
      <c r="Q48" s="54" t="e">
        <v>#DIV/0!</v>
      </c>
      <c r="R48" s="55"/>
      <c r="T48" s="88">
        <v>135151.22571428574</v>
      </c>
      <c r="U48" s="54">
        <v>0.56561341834151979</v>
      </c>
      <c r="V48" s="55"/>
      <c r="X48" s="88">
        <f>AVERAGE(H48,L48,P48,T48)</f>
        <v>181037.66486607143</v>
      </c>
      <c r="Y48" s="54">
        <v>0.56561341834151979</v>
      </c>
      <c r="Z48" s="55"/>
      <c r="AB48" s="88">
        <f>AB29+AB46</f>
        <v>165015.87431900401</v>
      </c>
      <c r="AC48" s="54">
        <v>0.56561341834151979</v>
      </c>
      <c r="AD48" s="55"/>
    </row>
    <row r="49" spans="2:30" ht="16" thickBot="1" x14ac:dyDescent="0.25">
      <c r="B49" s="35"/>
      <c r="C49" s="36"/>
      <c r="D49" s="37"/>
      <c r="E49" s="36"/>
      <c r="F49" s="36"/>
      <c r="G49" s="39"/>
      <c r="H49" s="89"/>
      <c r="I49" s="40"/>
      <c r="J49" s="39"/>
      <c r="L49" s="89"/>
      <c r="M49" s="40"/>
      <c r="N49" s="39"/>
      <c r="P49" s="89"/>
      <c r="Q49" s="40"/>
      <c r="R49" s="39"/>
      <c r="T49" s="89"/>
      <c r="U49" s="40"/>
      <c r="V49" s="39"/>
      <c r="X49" s="89"/>
      <c r="Y49" s="40"/>
      <c r="Z49" s="39"/>
      <c r="AB49" s="89"/>
      <c r="AC49" s="40"/>
      <c r="AD49" s="39"/>
    </row>
    <row r="50" spans="2:30" ht="16" thickTop="1" x14ac:dyDescent="0.2">
      <c r="B50" s="29"/>
      <c r="C50" s="26"/>
      <c r="D50" s="21"/>
      <c r="E50" s="26"/>
      <c r="F50" s="26"/>
      <c r="G50" s="28"/>
      <c r="H50" s="87"/>
      <c r="I50" s="31"/>
      <c r="J50" s="28"/>
      <c r="L50" s="87"/>
      <c r="M50" s="31"/>
      <c r="N50" s="28"/>
      <c r="P50" s="87"/>
      <c r="Q50" s="31"/>
      <c r="R50" s="28"/>
      <c r="T50" s="87"/>
      <c r="U50" s="31"/>
      <c r="V50" s="28"/>
      <c r="X50" s="87"/>
      <c r="Y50" s="31"/>
      <c r="Z50" s="28"/>
      <c r="AB50" s="87"/>
      <c r="AC50" s="31"/>
      <c r="AD50" s="28"/>
    </row>
    <row r="51" spans="2:30" x14ac:dyDescent="0.2">
      <c r="B51" s="41" t="s">
        <v>24</v>
      </c>
      <c r="C51" s="26"/>
      <c r="D51" s="21"/>
      <c r="E51" s="26"/>
      <c r="F51" s="26"/>
      <c r="G51" s="28"/>
      <c r="H51" s="87"/>
      <c r="I51" s="31"/>
      <c r="J51" s="28"/>
      <c r="L51" s="87"/>
      <c r="M51" s="31"/>
      <c r="N51" s="28"/>
      <c r="P51" s="87"/>
      <c r="Q51" s="31"/>
      <c r="R51" s="28"/>
      <c r="T51" s="87"/>
      <c r="U51" s="31"/>
      <c r="V51" s="28"/>
      <c r="X51" s="87"/>
      <c r="Y51" s="31"/>
      <c r="Z51" s="28"/>
      <c r="AB51" s="87"/>
      <c r="AC51" s="31"/>
      <c r="AD51" s="28"/>
    </row>
    <row r="52" spans="2:30" x14ac:dyDescent="0.2">
      <c r="B52" s="29"/>
      <c r="C52" s="26"/>
      <c r="D52" s="26"/>
      <c r="E52" s="26"/>
      <c r="F52" s="26"/>
      <c r="G52" s="28"/>
      <c r="H52" s="87"/>
      <c r="I52" s="31"/>
      <c r="J52" s="28"/>
      <c r="L52" s="87"/>
      <c r="M52" s="31"/>
      <c r="N52" s="28"/>
      <c r="P52" s="87"/>
      <c r="Q52" s="31"/>
      <c r="R52" s="28"/>
      <c r="T52" s="87"/>
      <c r="U52" s="31"/>
      <c r="V52" s="28"/>
      <c r="X52" s="87"/>
      <c r="Y52" s="31"/>
      <c r="Z52" s="28"/>
      <c r="AB52" s="87" t="s">
        <v>89</v>
      </c>
      <c r="AC52" s="31"/>
      <c r="AD52" s="28"/>
    </row>
    <row r="53" spans="2:30" x14ac:dyDescent="0.2">
      <c r="B53" s="29"/>
      <c r="C53" s="26"/>
      <c r="D53" s="34" t="s">
        <v>58</v>
      </c>
      <c r="E53" s="34"/>
      <c r="F53" s="34"/>
      <c r="G53" s="28"/>
      <c r="H53" s="30">
        <v>2706.7531333333336</v>
      </c>
      <c r="I53" s="42">
        <v>7.5438188333043516E-3</v>
      </c>
      <c r="J53" s="28"/>
      <c r="L53" s="30">
        <v>1947.2879666666665</v>
      </c>
      <c r="M53" s="42">
        <v>4.9160498752188623E-3</v>
      </c>
      <c r="N53" s="28"/>
      <c r="P53" s="30">
        <v>1991.3561333333334</v>
      </c>
      <c r="Q53" s="42">
        <v>4.7529903610114936E-3</v>
      </c>
      <c r="R53" s="28"/>
      <c r="T53" s="30">
        <v>1911.0171428571427</v>
      </c>
      <c r="U53" s="42">
        <v>7.63008343577055E-3</v>
      </c>
      <c r="V53" s="28"/>
      <c r="X53" s="30">
        <f t="shared" ref="X53:X68" si="8">AVERAGE(H53,L53,P53,T53)</f>
        <v>2139.103594047619</v>
      </c>
      <c r="Y53" s="42">
        <v>7.63008343577055E-3</v>
      </c>
      <c r="Z53" s="28"/>
      <c r="AB53" s="30">
        <f>+AC53*$AB$16</f>
        <v>2302.1803469997349</v>
      </c>
      <c r="AC53" s="42">
        <v>7.63008343577055E-3</v>
      </c>
      <c r="AD53" s="28"/>
    </row>
    <row r="54" spans="2:30" x14ac:dyDescent="0.2">
      <c r="B54" s="29"/>
      <c r="C54" s="26"/>
      <c r="D54" s="26" t="s">
        <v>25</v>
      </c>
      <c r="E54" s="26"/>
      <c r="F54" s="26"/>
      <c r="G54" s="28"/>
      <c r="H54" s="30">
        <v>28494.369039999994</v>
      </c>
      <c r="I54" s="42">
        <v>7.9414836602538716E-2</v>
      </c>
      <c r="J54" s="28"/>
      <c r="L54" s="30">
        <v>33326.155406666665</v>
      </c>
      <c r="M54" s="42">
        <v>8.4133957038164522E-2</v>
      </c>
      <c r="N54" s="28"/>
      <c r="P54" s="30">
        <v>30469.753149999993</v>
      </c>
      <c r="Q54" s="42">
        <v>7.2725536432265939E-2</v>
      </c>
      <c r="R54" s="28"/>
      <c r="T54" s="30">
        <v>14454.783657142858</v>
      </c>
      <c r="U54" s="42">
        <v>5.8973608688386456E-2</v>
      </c>
      <c r="V54" s="28"/>
      <c r="X54" s="30">
        <f t="shared" si="8"/>
        <v>26686.265313452379</v>
      </c>
      <c r="Y54" s="42">
        <v>5.8973608688386456E-2</v>
      </c>
      <c r="Z54" s="28"/>
      <c r="AB54" s="30">
        <f t="shared" ref="AB54:AB67" si="9">+AC54*$AB$16</f>
        <v>17793.76124218557</v>
      </c>
      <c r="AC54" s="42">
        <v>5.8973608688386456E-2</v>
      </c>
      <c r="AD54" s="28"/>
    </row>
    <row r="55" spans="2:30" x14ac:dyDescent="0.2">
      <c r="B55" s="29"/>
      <c r="C55" s="26"/>
      <c r="D55" s="26" t="s">
        <v>66</v>
      </c>
      <c r="E55" s="26"/>
      <c r="F55" s="26"/>
      <c r="G55" s="28"/>
      <c r="H55" s="30">
        <v>295.58366666666666</v>
      </c>
      <c r="I55" s="42">
        <v>8.2380236452193466E-4</v>
      </c>
      <c r="J55" s="28"/>
      <c r="L55" s="30">
        <v>327.03500000000003</v>
      </c>
      <c r="M55" s="42">
        <v>8.2562024644678952E-4</v>
      </c>
      <c r="N55" s="28"/>
      <c r="P55" s="30">
        <v>393.00533333333334</v>
      </c>
      <c r="Q55" s="42">
        <v>9.380293810292374E-4</v>
      </c>
      <c r="R55" s="28"/>
      <c r="T55" s="30">
        <v>182.12857142857143</v>
      </c>
      <c r="U55" s="42">
        <v>7.6035501703577957E-4</v>
      </c>
      <c r="V55" s="28"/>
      <c r="X55" s="30">
        <f t="shared" si="8"/>
        <v>299.43814285714285</v>
      </c>
      <c r="Y55" s="42">
        <v>7.6035501703577957E-4</v>
      </c>
      <c r="Z55" s="28"/>
      <c r="AB55" s="30">
        <f t="shared" si="9"/>
        <v>229.41746203665764</v>
      </c>
      <c r="AC55" s="42">
        <v>7.6035501703577957E-4</v>
      </c>
      <c r="AD55" s="28"/>
    </row>
    <row r="56" spans="2:30" x14ac:dyDescent="0.2">
      <c r="B56" s="29"/>
      <c r="C56" s="26"/>
      <c r="D56" s="26" t="s">
        <v>67</v>
      </c>
      <c r="E56" s="26"/>
      <c r="F56" s="26"/>
      <c r="G56" s="28"/>
      <c r="H56" s="30">
        <v>2.7272727272727271</v>
      </c>
      <c r="I56" s="42">
        <v>7.6010076834087296E-6</v>
      </c>
      <c r="J56" s="28"/>
      <c r="L56" s="30">
        <v>16.818181818181817</v>
      </c>
      <c r="M56" s="42">
        <v>4.2458548526959456E-5</v>
      </c>
      <c r="N56" s="28"/>
      <c r="P56" s="30">
        <v>0</v>
      </c>
      <c r="Q56" s="42">
        <v>0</v>
      </c>
      <c r="R56" s="28"/>
      <c r="T56" s="30">
        <v>0</v>
      </c>
      <c r="U56" s="42">
        <v>0</v>
      </c>
      <c r="V56" s="28"/>
      <c r="X56" s="30">
        <f t="shared" si="8"/>
        <v>4.8863636363636358</v>
      </c>
      <c r="Y56" s="42">
        <v>0</v>
      </c>
      <c r="Z56" s="28"/>
      <c r="AB56" s="30">
        <f t="shared" si="9"/>
        <v>0</v>
      </c>
      <c r="AC56" s="42">
        <v>0</v>
      </c>
      <c r="AD56" s="28"/>
    </row>
    <row r="57" spans="2:30" x14ac:dyDescent="0.2">
      <c r="B57" s="29"/>
      <c r="C57" s="26"/>
      <c r="D57" s="26" t="s">
        <v>61</v>
      </c>
      <c r="E57" s="26"/>
      <c r="F57" s="26"/>
      <c r="G57" s="28"/>
      <c r="H57" s="30">
        <v>338.6</v>
      </c>
      <c r="I57" s="42">
        <v>9.4369044058747185E-4</v>
      </c>
      <c r="J57" s="28"/>
      <c r="L57" s="30">
        <v>292.07</v>
      </c>
      <c r="M57" s="42">
        <v>7.3734892405924078E-4</v>
      </c>
      <c r="N57" s="28"/>
      <c r="P57" s="30">
        <v>273.35666666666668</v>
      </c>
      <c r="Q57" s="42">
        <v>6.524506491011545E-4</v>
      </c>
      <c r="R57" s="28"/>
      <c r="T57" s="30">
        <v>1190.1428571428571</v>
      </c>
      <c r="U57" s="42">
        <v>4.038367483590548E-3</v>
      </c>
      <c r="V57" s="28"/>
      <c r="X57" s="30">
        <f t="shared" si="8"/>
        <v>523.542380952381</v>
      </c>
      <c r="Y57" s="42">
        <v>4.038367483590548E-3</v>
      </c>
      <c r="Z57" s="28"/>
      <c r="AB57" s="30">
        <f t="shared" si="9"/>
        <v>1218.4729476350792</v>
      </c>
      <c r="AC57" s="42">
        <v>4.038367483590548E-3</v>
      </c>
      <c r="AD57" s="28"/>
    </row>
    <row r="58" spans="2:30" x14ac:dyDescent="0.2">
      <c r="B58" s="29"/>
      <c r="C58" s="26"/>
      <c r="D58" s="26" t="s">
        <v>40</v>
      </c>
      <c r="E58" s="26"/>
      <c r="F58" s="26"/>
      <c r="G58" s="28"/>
      <c r="H58" s="30">
        <v>37.4</v>
      </c>
      <c r="I58" s="42">
        <v>1.0423515203181171E-4</v>
      </c>
      <c r="J58" s="28"/>
      <c r="L58" s="30">
        <v>5.0999999999999996</v>
      </c>
      <c r="M58" s="42">
        <v>1.2875267958715813E-5</v>
      </c>
      <c r="N58" s="28"/>
      <c r="P58" s="30">
        <v>0</v>
      </c>
      <c r="Q58" s="42">
        <v>0</v>
      </c>
      <c r="R58" s="28"/>
      <c r="T58" s="30">
        <v>0</v>
      </c>
      <c r="U58" s="42">
        <v>0</v>
      </c>
      <c r="V58" s="28"/>
      <c r="X58" s="30">
        <f t="shared" si="8"/>
        <v>10.625</v>
      </c>
      <c r="Y58" s="42">
        <v>0</v>
      </c>
      <c r="Z58" s="28"/>
      <c r="AB58" s="30">
        <f t="shared" si="9"/>
        <v>0</v>
      </c>
      <c r="AC58" s="42">
        <v>0</v>
      </c>
      <c r="AD58" s="28"/>
    </row>
    <row r="59" spans="2:30" x14ac:dyDescent="0.2">
      <c r="B59" s="29"/>
      <c r="C59" s="26"/>
      <c r="D59" s="26" t="s">
        <v>59</v>
      </c>
      <c r="E59" s="26"/>
      <c r="F59" s="26"/>
      <c r="G59" s="28"/>
      <c r="H59" s="30">
        <v>1965.909090909091</v>
      </c>
      <c r="I59" s="42">
        <v>5.4790597051237932E-3</v>
      </c>
      <c r="J59" s="28"/>
      <c r="L59" s="30">
        <v>914.2</v>
      </c>
      <c r="M59" s="42">
        <v>2.3079548956584308E-3</v>
      </c>
      <c r="N59" s="28"/>
      <c r="P59" s="30">
        <v>2336.6363636363635</v>
      </c>
      <c r="Q59" s="42">
        <v>5.5771089498502808E-3</v>
      </c>
      <c r="R59" s="28"/>
      <c r="T59" s="30">
        <v>428.57142857142856</v>
      </c>
      <c r="U59" s="42">
        <v>2.0439276692143025E-3</v>
      </c>
      <c r="V59" s="28"/>
      <c r="X59" s="30">
        <f t="shared" si="8"/>
        <v>1411.3292207792208</v>
      </c>
      <c r="Y59" s="42">
        <v>2.0439276692143025E-3</v>
      </c>
      <c r="Z59" s="28"/>
      <c r="AB59" s="30">
        <f t="shared" si="9"/>
        <v>616.70231398707404</v>
      </c>
      <c r="AC59" s="42">
        <v>2.0439276692143025E-3</v>
      </c>
      <c r="AD59" s="28"/>
    </row>
    <row r="60" spans="2:30" x14ac:dyDescent="0.2">
      <c r="B60" s="29"/>
      <c r="C60" s="26"/>
      <c r="D60" s="26" t="s">
        <v>60</v>
      </c>
      <c r="E60" s="26"/>
      <c r="F60" s="26"/>
      <c r="G60" s="28"/>
      <c r="H60" s="30">
        <v>5731</v>
      </c>
      <c r="I60" s="42">
        <v>1.5972504178992323E-2</v>
      </c>
      <c r="J60" s="28"/>
      <c r="L60" s="30">
        <v>190</v>
      </c>
      <c r="M60" s="42">
        <v>4.7966684552078523E-4</v>
      </c>
      <c r="N60" s="28"/>
      <c r="P60" s="30">
        <v>954.08333333333337</v>
      </c>
      <c r="Q60" s="42">
        <v>2.2772164210247653E-3</v>
      </c>
      <c r="R60" s="28"/>
      <c r="T60" s="30">
        <v>1050</v>
      </c>
      <c r="U60" s="42">
        <v>3.6556437735796765E-3</v>
      </c>
      <c r="V60" s="28"/>
      <c r="X60" s="30">
        <f t="shared" si="8"/>
        <v>1981.2708333333333</v>
      </c>
      <c r="Y60" s="42">
        <v>3.6556437735796765E-3</v>
      </c>
      <c r="Z60" s="28"/>
      <c r="AB60" s="30">
        <f t="shared" si="9"/>
        <v>1102.9959661662817</v>
      </c>
      <c r="AC60" s="42">
        <v>3.6556437735796765E-3</v>
      </c>
      <c r="AD60" s="28"/>
    </row>
    <row r="61" spans="2:30" x14ac:dyDescent="0.2">
      <c r="B61" s="29"/>
      <c r="C61" s="26"/>
      <c r="D61" s="26" t="s">
        <v>68</v>
      </c>
      <c r="E61" s="26"/>
      <c r="F61" s="26"/>
      <c r="G61" s="28"/>
      <c r="H61" s="30">
        <v>0</v>
      </c>
      <c r="I61" s="42">
        <v>0</v>
      </c>
      <c r="J61" s="28"/>
      <c r="L61" s="30">
        <v>0</v>
      </c>
      <c r="M61" s="42">
        <v>0</v>
      </c>
      <c r="N61" s="28"/>
      <c r="P61" s="30">
        <v>67.666666666666671</v>
      </c>
      <c r="Q61" s="42">
        <v>1.6150753200035894E-4</v>
      </c>
      <c r="R61" s="28"/>
      <c r="T61" s="30">
        <v>0</v>
      </c>
      <c r="U61" s="42">
        <v>0</v>
      </c>
      <c r="V61" s="28"/>
      <c r="X61" s="30">
        <f t="shared" si="8"/>
        <v>16.916666666666668</v>
      </c>
      <c r="Y61" s="42">
        <v>0</v>
      </c>
      <c r="Z61" s="28"/>
      <c r="AB61" s="30">
        <f t="shared" si="9"/>
        <v>0</v>
      </c>
      <c r="AC61" s="42">
        <v>0</v>
      </c>
      <c r="AD61" s="28"/>
    </row>
    <row r="62" spans="2:30" x14ac:dyDescent="0.2">
      <c r="B62" s="29"/>
      <c r="C62" s="26"/>
      <c r="D62" s="26" t="s">
        <v>69</v>
      </c>
      <c r="E62" s="34"/>
      <c r="F62" s="26"/>
      <c r="G62" s="28"/>
      <c r="H62" s="30">
        <v>0</v>
      </c>
      <c r="I62" s="42">
        <v>0</v>
      </c>
      <c r="J62" s="28"/>
      <c r="L62" s="30">
        <v>0</v>
      </c>
      <c r="M62" s="42">
        <v>0</v>
      </c>
      <c r="N62" s="28"/>
      <c r="P62" s="30">
        <v>0</v>
      </c>
      <c r="Q62" s="42">
        <v>0</v>
      </c>
      <c r="R62" s="28"/>
      <c r="T62" s="30">
        <v>0</v>
      </c>
      <c r="U62" s="42">
        <v>0</v>
      </c>
      <c r="V62" s="28"/>
      <c r="X62" s="30">
        <f t="shared" si="8"/>
        <v>0</v>
      </c>
      <c r="Y62" s="42">
        <v>0</v>
      </c>
      <c r="Z62" s="28"/>
      <c r="AB62" s="30">
        <f t="shared" si="9"/>
        <v>0</v>
      </c>
      <c r="AC62" s="42">
        <v>0</v>
      </c>
      <c r="AD62" s="28"/>
    </row>
    <row r="63" spans="2:30" x14ac:dyDescent="0.2">
      <c r="B63" s="29"/>
      <c r="C63" s="26"/>
      <c r="D63" s="26" t="s">
        <v>62</v>
      </c>
      <c r="E63" s="66"/>
      <c r="F63" s="66"/>
      <c r="G63" s="28"/>
      <c r="H63" s="30">
        <v>36.5</v>
      </c>
      <c r="I63" s="42">
        <v>1.0172681949628684E-4</v>
      </c>
      <c r="J63" s="28"/>
      <c r="L63" s="30">
        <v>0</v>
      </c>
      <c r="M63" s="42">
        <v>0</v>
      </c>
      <c r="N63" s="28"/>
      <c r="P63" s="30">
        <v>17.272727272727273</v>
      </c>
      <c r="Q63" s="42">
        <v>4.1226732306406E-5</v>
      </c>
      <c r="R63" s="28"/>
      <c r="T63" s="30">
        <v>77.857142857142861</v>
      </c>
      <c r="U63" s="42">
        <v>2.8065349614844444E-4</v>
      </c>
      <c r="V63" s="28"/>
      <c r="X63" s="30">
        <f t="shared" si="8"/>
        <v>32.907467532467535</v>
      </c>
      <c r="Y63" s="42">
        <v>2.8065349614844444E-4</v>
      </c>
      <c r="Z63" s="28"/>
      <c r="AB63" s="30">
        <f t="shared" si="9"/>
        <v>84.679934182720302</v>
      </c>
      <c r="AC63" s="42">
        <v>2.8065349614844444E-4</v>
      </c>
      <c r="AD63" s="28"/>
    </row>
    <row r="64" spans="2:30" x14ac:dyDescent="0.2">
      <c r="B64" s="29"/>
      <c r="C64" s="26"/>
      <c r="D64" s="26" t="s">
        <v>63</v>
      </c>
      <c r="E64" s="66"/>
      <c r="F64" s="66"/>
      <c r="G64" s="32"/>
      <c r="H64" s="30">
        <v>0</v>
      </c>
      <c r="I64" s="42">
        <v>0</v>
      </c>
      <c r="J64" s="28"/>
      <c r="L64" s="30">
        <v>0</v>
      </c>
      <c r="M64" s="42">
        <v>0</v>
      </c>
      <c r="N64" s="28"/>
      <c r="P64" s="30">
        <v>0</v>
      </c>
      <c r="Q64" s="42">
        <v>0</v>
      </c>
      <c r="R64" s="28"/>
      <c r="T64" s="30">
        <v>0</v>
      </c>
      <c r="U64" s="42">
        <v>0</v>
      </c>
      <c r="V64" s="28"/>
      <c r="X64" s="30">
        <f t="shared" si="8"/>
        <v>0</v>
      </c>
      <c r="Y64" s="42">
        <v>0</v>
      </c>
      <c r="Z64" s="28"/>
      <c r="AB64" s="30">
        <f t="shared" si="9"/>
        <v>0</v>
      </c>
      <c r="AC64" s="42">
        <v>0</v>
      </c>
      <c r="AD64" s="28"/>
    </row>
    <row r="65" spans="2:30" x14ac:dyDescent="0.2">
      <c r="B65" s="29"/>
      <c r="C65" s="26"/>
      <c r="D65" s="26" t="s">
        <v>70</v>
      </c>
      <c r="E65" s="26"/>
      <c r="F65" s="26"/>
      <c r="G65" s="28"/>
      <c r="H65" s="30">
        <v>202.14285714285714</v>
      </c>
      <c r="I65" s="42">
        <v>5.6337945043931847E-4</v>
      </c>
      <c r="J65" s="28"/>
      <c r="L65" s="30">
        <v>175.3</v>
      </c>
      <c r="M65" s="42">
        <v>4.4255577905154557E-4</v>
      </c>
      <c r="N65" s="28"/>
      <c r="P65" s="30">
        <v>31.666666666666668</v>
      </c>
      <c r="Q65" s="42">
        <v>7.5582342561744334E-5</v>
      </c>
      <c r="R65" s="28"/>
      <c r="T65" s="30">
        <v>0</v>
      </c>
      <c r="U65" s="42">
        <v>0</v>
      </c>
      <c r="V65" s="28"/>
      <c r="X65" s="30">
        <f t="shared" si="8"/>
        <v>102.27738095238097</v>
      </c>
      <c r="Y65" s="42">
        <v>0</v>
      </c>
      <c r="Z65" s="28"/>
      <c r="AB65" s="30">
        <f t="shared" si="9"/>
        <v>0</v>
      </c>
      <c r="AC65" s="42">
        <v>0</v>
      </c>
      <c r="AD65" s="28"/>
    </row>
    <row r="66" spans="2:30" x14ac:dyDescent="0.2">
      <c r="B66" s="29"/>
      <c r="C66" s="26"/>
      <c r="D66" s="26" t="s">
        <v>70</v>
      </c>
      <c r="E66" s="45"/>
      <c r="F66" s="45"/>
      <c r="H66" s="30">
        <v>0</v>
      </c>
      <c r="I66" s="42">
        <v>0</v>
      </c>
      <c r="J66" s="28"/>
      <c r="L66" s="30">
        <v>0</v>
      </c>
      <c r="M66" s="42">
        <v>0</v>
      </c>
      <c r="N66" s="28"/>
      <c r="P66" s="30">
        <v>0</v>
      </c>
      <c r="Q66" s="42">
        <v>0</v>
      </c>
      <c r="R66" s="28"/>
      <c r="T66" s="30">
        <v>0</v>
      </c>
      <c r="U66" s="42">
        <v>0</v>
      </c>
      <c r="V66" s="28"/>
      <c r="X66" s="30">
        <f t="shared" si="8"/>
        <v>0</v>
      </c>
      <c r="Y66" s="42">
        <v>0</v>
      </c>
      <c r="Z66" s="28"/>
      <c r="AB66" s="30">
        <f t="shared" si="9"/>
        <v>0</v>
      </c>
      <c r="AC66" s="42">
        <v>0</v>
      </c>
      <c r="AD66" s="28"/>
    </row>
    <row r="67" spans="2:30" x14ac:dyDescent="0.2">
      <c r="B67" s="29"/>
      <c r="C67" s="26"/>
      <c r="D67" s="26" t="s">
        <v>70</v>
      </c>
      <c r="E67" s="66"/>
      <c r="F67" s="66"/>
      <c r="G67" s="28"/>
      <c r="H67" s="30">
        <v>0</v>
      </c>
      <c r="I67" s="42">
        <v>0</v>
      </c>
      <c r="J67" s="28"/>
      <c r="L67" s="30">
        <v>0</v>
      </c>
      <c r="M67" s="42">
        <v>0</v>
      </c>
      <c r="N67" s="28"/>
      <c r="P67" s="30">
        <v>0</v>
      </c>
      <c r="Q67" s="42">
        <v>0</v>
      </c>
      <c r="R67" s="28"/>
      <c r="T67" s="30">
        <v>0</v>
      </c>
      <c r="U67" s="42">
        <v>0</v>
      </c>
      <c r="V67" s="28"/>
      <c r="X67" s="30">
        <f t="shared" si="8"/>
        <v>0</v>
      </c>
      <c r="Y67" s="42">
        <v>0</v>
      </c>
      <c r="Z67" s="28"/>
      <c r="AB67" s="30">
        <f t="shared" si="9"/>
        <v>0</v>
      </c>
      <c r="AC67" s="42">
        <v>0</v>
      </c>
      <c r="AD67" s="28"/>
    </row>
    <row r="68" spans="2:30" x14ac:dyDescent="0.2">
      <c r="B68" s="29"/>
      <c r="D68" s="26"/>
      <c r="E68" s="21" t="s">
        <v>26</v>
      </c>
      <c r="F68" s="26"/>
      <c r="G68" s="28"/>
      <c r="H68" s="84">
        <v>36628.455839999995</v>
      </c>
      <c r="I68" s="43">
        <v>0.10208483056612035</v>
      </c>
      <c r="J68" s="28"/>
      <c r="L68" s="84">
        <v>36954.125873333331</v>
      </c>
      <c r="M68" s="43">
        <v>9.3292994666525422E-2</v>
      </c>
      <c r="N68" s="28"/>
      <c r="P68" s="84">
        <v>36338.637949999997</v>
      </c>
      <c r="Q68" s="43">
        <v>8.6733454160971654E-2</v>
      </c>
      <c r="R68" s="28"/>
      <c r="T68" s="84">
        <v>19294.500800000002</v>
      </c>
      <c r="U68" s="43">
        <v>7.738263956372575E-2</v>
      </c>
      <c r="V68" s="28"/>
      <c r="X68" s="84">
        <f t="shared" si="8"/>
        <v>32303.930115833333</v>
      </c>
      <c r="Y68" s="43">
        <v>7.738263956372575E-2</v>
      </c>
      <c r="Z68" s="28"/>
      <c r="AB68" s="84">
        <v>32303.930115833333</v>
      </c>
      <c r="AC68" s="43">
        <v>7.738263956372575E-2</v>
      </c>
      <c r="AD68" s="28"/>
    </row>
    <row r="69" spans="2:30" x14ac:dyDescent="0.2">
      <c r="B69" s="29"/>
      <c r="C69" s="26"/>
      <c r="D69" s="26"/>
      <c r="E69" s="26"/>
      <c r="F69" s="26"/>
      <c r="G69" s="28"/>
      <c r="H69" s="87"/>
      <c r="I69" s="31"/>
      <c r="J69" s="28"/>
      <c r="L69" s="87"/>
      <c r="M69" s="31"/>
      <c r="N69" s="28"/>
      <c r="P69" s="87"/>
      <c r="Q69" s="31"/>
      <c r="R69" s="28"/>
      <c r="T69" s="87"/>
      <c r="U69" s="31"/>
      <c r="V69" s="28"/>
      <c r="X69" s="87"/>
      <c r="Y69" s="31"/>
      <c r="Z69" s="28"/>
      <c r="AB69" s="87"/>
      <c r="AC69" s="31"/>
      <c r="AD69" s="28"/>
    </row>
    <row r="70" spans="2:30" x14ac:dyDescent="0.2">
      <c r="B70" s="41" t="s">
        <v>27</v>
      </c>
      <c r="C70" s="26"/>
      <c r="D70" s="21"/>
      <c r="E70" s="26"/>
      <c r="F70" s="26"/>
      <c r="G70" s="28"/>
      <c r="H70" s="87"/>
      <c r="I70" s="31"/>
      <c r="J70" s="28"/>
      <c r="L70" s="87"/>
      <c r="M70" s="31"/>
      <c r="N70" s="28"/>
      <c r="P70" s="87"/>
      <c r="Q70" s="31"/>
      <c r="R70" s="28"/>
      <c r="T70" s="87"/>
      <c r="U70" s="31"/>
      <c r="V70" s="28"/>
      <c r="X70" s="87"/>
      <c r="Y70" s="31"/>
      <c r="Z70" s="28"/>
      <c r="AB70" s="87" t="s">
        <v>90</v>
      </c>
      <c r="AC70" s="31"/>
      <c r="AD70" s="28"/>
    </row>
    <row r="71" spans="2:30" x14ac:dyDescent="0.2">
      <c r="B71" s="29"/>
      <c r="C71" s="26"/>
      <c r="D71" s="26"/>
      <c r="E71" s="26"/>
      <c r="F71" s="26"/>
      <c r="G71" s="28"/>
      <c r="H71" s="87"/>
      <c r="I71" s="31"/>
      <c r="J71" s="28"/>
      <c r="L71" s="87"/>
      <c r="M71" s="31"/>
      <c r="N71" s="28"/>
      <c r="P71" s="87"/>
      <c r="Q71" s="31"/>
      <c r="R71" s="28"/>
      <c r="T71" s="87"/>
      <c r="U71" s="31"/>
      <c r="V71" s="28"/>
      <c r="X71" s="87"/>
      <c r="Y71" s="31"/>
      <c r="Z71" s="28"/>
      <c r="AB71" s="87"/>
      <c r="AC71" s="31"/>
      <c r="AD71" s="28"/>
    </row>
    <row r="72" spans="2:30" x14ac:dyDescent="0.2">
      <c r="B72" s="29"/>
      <c r="C72" s="26"/>
      <c r="D72" s="26" t="s">
        <v>28</v>
      </c>
      <c r="E72" s="26"/>
      <c r="F72" s="26"/>
      <c r="G72" s="28"/>
      <c r="H72" s="30">
        <v>4346.4196666666667</v>
      </c>
      <c r="I72" s="42">
        <v>1.2113628736605786E-2</v>
      </c>
      <c r="J72" s="28"/>
      <c r="L72" s="30">
        <v>1859.7175</v>
      </c>
      <c r="M72" s="42">
        <v>4.6949727725515839E-3</v>
      </c>
      <c r="N72" s="28"/>
      <c r="P72" s="30">
        <v>3533.2350000000001</v>
      </c>
      <c r="Q72" s="42">
        <v>8.4331635196150962E-3</v>
      </c>
      <c r="R72" s="28"/>
      <c r="T72" s="30">
        <v>5289.1314285714279</v>
      </c>
      <c r="U72" s="42">
        <v>2.125512065076934E-2</v>
      </c>
      <c r="V72" s="28"/>
      <c r="X72" s="30">
        <f t="shared" ref="X72:X86" si="10">AVERAGE(H72,L72,P72,T72)</f>
        <v>3757.1258988095233</v>
      </c>
      <c r="Y72" s="42">
        <v>2.125512065076934E-2</v>
      </c>
      <c r="Z72" s="28"/>
      <c r="AB72" s="30">
        <v>3757.1258988095233</v>
      </c>
      <c r="AC72" s="42">
        <v>2.125512065076934E-2</v>
      </c>
      <c r="AD72" s="28"/>
    </row>
    <row r="73" spans="2:30" x14ac:dyDescent="0.2">
      <c r="B73" s="29"/>
      <c r="C73" s="26"/>
      <c r="D73" s="26" t="s">
        <v>71</v>
      </c>
      <c r="E73" s="26"/>
      <c r="F73" s="26"/>
      <c r="G73" s="28"/>
      <c r="H73" s="30">
        <v>743.6018181818182</v>
      </c>
      <c r="I73" s="42">
        <v>2.072445148912124E-3</v>
      </c>
      <c r="J73" s="28"/>
      <c r="L73" s="30">
        <v>643.15545454545452</v>
      </c>
      <c r="M73" s="42">
        <v>1.6236860424279208E-3</v>
      </c>
      <c r="N73" s="28"/>
      <c r="P73" s="30">
        <v>1113.1433333333332</v>
      </c>
      <c r="Q73" s="42">
        <v>2.6568625496943771E-3</v>
      </c>
      <c r="R73" s="28"/>
      <c r="T73" s="30">
        <v>1539.5566666666666</v>
      </c>
      <c r="U73" s="42">
        <v>5.6943623334110493E-3</v>
      </c>
      <c r="V73" s="28"/>
      <c r="X73" s="30">
        <f t="shared" si="10"/>
        <v>1009.8643181818181</v>
      </c>
      <c r="Y73" s="42">
        <v>5.6943623334110493E-3</v>
      </c>
      <c r="Z73" s="28"/>
      <c r="AB73" s="30">
        <v>1009.8643181818181</v>
      </c>
      <c r="AC73" s="42">
        <v>5.6943623334110493E-3</v>
      </c>
      <c r="AD73" s="28"/>
    </row>
    <row r="74" spans="2:30" x14ac:dyDescent="0.2">
      <c r="B74" s="29"/>
      <c r="C74" s="26"/>
      <c r="D74" s="26" t="s">
        <v>29</v>
      </c>
      <c r="E74" s="26"/>
      <c r="F74" s="26"/>
      <c r="G74" s="28"/>
      <c r="H74" s="30">
        <v>589.25416666666672</v>
      </c>
      <c r="I74" s="42">
        <v>1.6422726643817787E-3</v>
      </c>
      <c r="J74" s="28"/>
      <c r="L74" s="30">
        <v>473.54500000000007</v>
      </c>
      <c r="M74" s="42">
        <v>1.195493875590212E-3</v>
      </c>
      <c r="N74" s="28"/>
      <c r="P74" s="30">
        <v>1110.4663333333333</v>
      </c>
      <c r="Q74" s="42">
        <v>2.6504730571352895E-3</v>
      </c>
      <c r="R74" s="28"/>
      <c r="T74" s="30">
        <v>0</v>
      </c>
      <c r="U74" s="42">
        <v>0</v>
      </c>
      <c r="V74" s="28"/>
      <c r="X74" s="30">
        <f t="shared" si="10"/>
        <v>543.31637499999999</v>
      </c>
      <c r="Y74" s="42">
        <v>0</v>
      </c>
      <c r="Z74" s="28"/>
      <c r="AB74" s="30">
        <v>543.31637499999999</v>
      </c>
      <c r="AC74" s="42">
        <v>0</v>
      </c>
      <c r="AD74" s="28"/>
    </row>
    <row r="75" spans="2:30" x14ac:dyDescent="0.2">
      <c r="B75" s="29"/>
      <c r="C75" s="26"/>
      <c r="D75" s="26" t="s">
        <v>64</v>
      </c>
      <c r="E75" s="26"/>
      <c r="F75" s="26"/>
      <c r="G75" s="28"/>
      <c r="H75" s="30">
        <v>565.58545454545447</v>
      </c>
      <c r="I75" s="42">
        <v>1.5763071080622134E-3</v>
      </c>
      <c r="J75" s="28"/>
      <c r="L75" s="30">
        <v>272.18181818181819</v>
      </c>
      <c r="M75" s="42">
        <v>6.8713996913360336E-4</v>
      </c>
      <c r="N75" s="28"/>
      <c r="P75" s="30">
        <v>489.98363636363644</v>
      </c>
      <c r="Q75" s="42">
        <v>1.1694982437879644E-3</v>
      </c>
      <c r="R75" s="28"/>
      <c r="T75" s="30">
        <v>682</v>
      </c>
      <c r="U75" s="42">
        <v>2.7302337329624905E-3</v>
      </c>
      <c r="V75" s="28"/>
      <c r="X75" s="30">
        <f t="shared" si="10"/>
        <v>502.43772727272727</v>
      </c>
      <c r="Y75" s="42">
        <v>2.7302337329624905E-3</v>
      </c>
      <c r="Z75" s="28"/>
      <c r="AB75" s="30">
        <v>502.43772727272727</v>
      </c>
      <c r="AC75" s="42">
        <v>2.7302337329624905E-3</v>
      </c>
      <c r="AD75" s="28"/>
    </row>
    <row r="76" spans="2:30" x14ac:dyDescent="0.2">
      <c r="B76" s="29"/>
      <c r="C76" s="26"/>
      <c r="D76" s="26" t="s">
        <v>72</v>
      </c>
      <c r="E76" s="26"/>
      <c r="F76" s="26"/>
      <c r="G76" s="28"/>
      <c r="H76" s="30">
        <v>36082.986666666664</v>
      </c>
      <c r="I76" s="42">
        <v>0.10056458826101163</v>
      </c>
      <c r="J76" s="28"/>
      <c r="L76" s="30">
        <v>40981.756666666661</v>
      </c>
      <c r="M76" s="42">
        <v>0.10346099970631793</v>
      </c>
      <c r="N76" s="28"/>
      <c r="P76" s="30">
        <v>14036.1</v>
      </c>
      <c r="Q76" s="42">
        <v>3.3501515318870516E-2</v>
      </c>
      <c r="R76" s="28"/>
      <c r="T76" s="30">
        <v>24443.571428571428</v>
      </c>
      <c r="U76" s="42">
        <v>0.10281925267861167</v>
      </c>
      <c r="V76" s="28"/>
      <c r="X76" s="30">
        <f t="shared" si="10"/>
        <v>28886.103690476186</v>
      </c>
      <c r="Y76" s="42">
        <v>0.10281925267861167</v>
      </c>
      <c r="Z76" s="28"/>
      <c r="AB76" s="30">
        <v>30000</v>
      </c>
      <c r="AC76" s="42">
        <v>0.10281925267861167</v>
      </c>
      <c r="AD76" s="28"/>
    </row>
    <row r="77" spans="2:30" x14ac:dyDescent="0.2">
      <c r="B77" s="29"/>
      <c r="C77" s="26"/>
      <c r="D77" s="26" t="s">
        <v>73</v>
      </c>
      <c r="E77" s="26"/>
      <c r="F77" s="26"/>
      <c r="G77" s="28"/>
      <c r="H77" s="30">
        <v>5370.666666666667</v>
      </c>
      <c r="I77" s="42">
        <v>1.4968242152732179E-2</v>
      </c>
      <c r="J77" s="28"/>
      <c r="L77" s="30">
        <v>1447.3666666666668</v>
      </c>
      <c r="M77" s="42">
        <v>3.6539673858522839E-3</v>
      </c>
      <c r="N77" s="28"/>
      <c r="P77" s="30">
        <v>0</v>
      </c>
      <c r="Q77" s="42">
        <v>0</v>
      </c>
      <c r="R77" s="28"/>
      <c r="T77" s="30">
        <v>0</v>
      </c>
      <c r="U77" s="42">
        <v>0</v>
      </c>
      <c r="V77" s="28"/>
      <c r="X77" s="30">
        <f t="shared" si="10"/>
        <v>1704.5083333333334</v>
      </c>
      <c r="Y77" s="42">
        <v>0</v>
      </c>
      <c r="Z77" s="28"/>
      <c r="AB77" s="30"/>
      <c r="AC77" s="42">
        <v>0</v>
      </c>
      <c r="AD77" s="28"/>
    </row>
    <row r="78" spans="2:30" x14ac:dyDescent="0.2">
      <c r="B78" s="29"/>
      <c r="C78" s="26"/>
      <c r="D78" s="26" t="s">
        <v>74</v>
      </c>
      <c r="E78" s="26"/>
      <c r="F78" s="26"/>
      <c r="G78" s="28"/>
      <c r="H78" s="30">
        <v>0</v>
      </c>
      <c r="I78" s="42">
        <v>0</v>
      </c>
      <c r="J78" s="28"/>
      <c r="L78" s="30">
        <v>0</v>
      </c>
      <c r="M78" s="42">
        <v>0</v>
      </c>
      <c r="N78" s="28"/>
      <c r="P78" s="30">
        <v>0</v>
      </c>
      <c r="Q78" s="42">
        <v>0</v>
      </c>
      <c r="R78" s="28"/>
      <c r="T78" s="30">
        <v>0</v>
      </c>
      <c r="U78" s="42">
        <v>0</v>
      </c>
      <c r="V78" s="28"/>
      <c r="X78" s="30">
        <f t="shared" si="10"/>
        <v>0</v>
      </c>
      <c r="Y78" s="42">
        <v>0</v>
      </c>
      <c r="Z78" s="28"/>
      <c r="AB78" s="30">
        <v>0</v>
      </c>
      <c r="AC78" s="42">
        <v>0</v>
      </c>
      <c r="AD78" s="28"/>
    </row>
    <row r="79" spans="2:30" x14ac:dyDescent="0.2">
      <c r="B79" s="29"/>
      <c r="C79" s="26"/>
      <c r="D79" s="26" t="s">
        <v>75</v>
      </c>
      <c r="E79" s="26"/>
      <c r="F79" s="26"/>
      <c r="G79" s="28"/>
      <c r="H79" s="30">
        <v>0</v>
      </c>
      <c r="I79" s="42">
        <v>0</v>
      </c>
      <c r="J79" s="28"/>
      <c r="L79" s="30">
        <v>0</v>
      </c>
      <c r="M79" s="42">
        <v>0</v>
      </c>
      <c r="N79" s="28"/>
      <c r="P79" s="30">
        <v>0</v>
      </c>
      <c r="Q79" s="42">
        <v>0</v>
      </c>
      <c r="R79" s="28"/>
      <c r="T79" s="30">
        <v>0</v>
      </c>
      <c r="U79" s="42">
        <v>0</v>
      </c>
      <c r="V79" s="28"/>
      <c r="X79" s="30">
        <f t="shared" si="10"/>
        <v>0</v>
      </c>
      <c r="Y79" s="42">
        <v>0</v>
      </c>
      <c r="Z79" s="28"/>
      <c r="AB79" s="30">
        <v>0</v>
      </c>
      <c r="AC79" s="42">
        <v>0</v>
      </c>
      <c r="AD79" s="28"/>
    </row>
    <row r="80" spans="2:30" x14ac:dyDescent="0.2">
      <c r="B80" s="29"/>
      <c r="C80" s="26"/>
      <c r="D80" s="26" t="s">
        <v>76</v>
      </c>
      <c r="E80" s="26"/>
      <c r="F80" s="26"/>
      <c r="G80" s="28"/>
      <c r="H80" s="30">
        <v>276.5025</v>
      </c>
      <c r="I80" s="42">
        <v>7.7062246322663153E-4</v>
      </c>
      <c r="J80" s="28"/>
      <c r="L80" s="30">
        <v>64.166666666666671</v>
      </c>
      <c r="M80" s="42">
        <v>1.6199275046096696E-4</v>
      </c>
      <c r="N80" s="28"/>
      <c r="P80" s="30">
        <v>0</v>
      </c>
      <c r="Q80" s="42">
        <v>0</v>
      </c>
      <c r="R80" s="28"/>
      <c r="T80" s="30">
        <v>0</v>
      </c>
      <c r="U80" s="42">
        <v>0</v>
      </c>
      <c r="V80" s="28"/>
      <c r="X80" s="30">
        <f t="shared" si="10"/>
        <v>85.167291666666671</v>
      </c>
      <c r="Y80" s="42">
        <v>0</v>
      </c>
      <c r="Z80" s="28"/>
      <c r="AB80" s="30">
        <v>85.167291666666671</v>
      </c>
      <c r="AC80" s="42">
        <v>0</v>
      </c>
      <c r="AD80" s="28"/>
    </row>
    <row r="81" spans="1:30" x14ac:dyDescent="0.2">
      <c r="A81" s="80"/>
      <c r="B81" s="5"/>
      <c r="C81" s="2"/>
      <c r="D81" s="26" t="s">
        <v>77</v>
      </c>
      <c r="E81" s="2"/>
      <c r="F81" s="2"/>
      <c r="G81" s="4"/>
      <c r="H81" s="30">
        <v>2188.9258333333337</v>
      </c>
      <c r="I81" s="42">
        <v>6.1006154284454599E-3</v>
      </c>
      <c r="J81" s="28"/>
      <c r="L81" s="30">
        <v>1707.1300000000003</v>
      </c>
      <c r="M81" s="42">
        <v>4.3097561157573591E-3</v>
      </c>
      <c r="N81" s="28"/>
      <c r="P81" s="30">
        <v>1595.1666666666667</v>
      </c>
      <c r="Q81" s="42">
        <v>3.8073610560971317E-3</v>
      </c>
      <c r="R81" s="28"/>
      <c r="T81" s="30">
        <v>2072.04</v>
      </c>
      <c r="U81" s="42">
        <v>8.7504458725195643E-3</v>
      </c>
      <c r="V81" s="28"/>
      <c r="X81" s="30">
        <f t="shared" si="10"/>
        <v>1890.8156250000002</v>
      </c>
      <c r="Y81" s="42">
        <v>8.7504458725195643E-3</v>
      </c>
      <c r="Z81" s="28"/>
      <c r="AB81" s="30">
        <v>1890.8156250000002</v>
      </c>
      <c r="AC81" s="42">
        <v>8.7504458725195643E-3</v>
      </c>
      <c r="AD81" s="28"/>
    </row>
    <row r="82" spans="1:30" x14ac:dyDescent="0.2">
      <c r="B82" s="29"/>
      <c r="C82" s="26"/>
      <c r="D82" s="26" t="s">
        <v>30</v>
      </c>
      <c r="E82" s="26"/>
      <c r="F82" s="26"/>
      <c r="G82" s="28"/>
      <c r="H82" s="30">
        <v>670.37666666666667</v>
      </c>
      <c r="I82" s="42">
        <v>1.8683640045074642E-3</v>
      </c>
      <c r="J82" s="28"/>
      <c r="L82" s="30">
        <v>670.37666666666667</v>
      </c>
      <c r="M82" s="42">
        <v>1.6924076895302048E-3</v>
      </c>
      <c r="N82" s="28"/>
      <c r="P82" s="30">
        <v>670.37666666666667</v>
      </c>
      <c r="Q82" s="42">
        <v>1.6000622799600091E-3</v>
      </c>
      <c r="R82" s="28"/>
      <c r="T82" s="30">
        <v>0</v>
      </c>
      <c r="U82" s="42">
        <v>0</v>
      </c>
      <c r="V82" s="28"/>
      <c r="X82" s="30">
        <f t="shared" si="10"/>
        <v>502.78250000000003</v>
      </c>
      <c r="Y82" s="42">
        <v>0</v>
      </c>
      <c r="Z82" s="28"/>
      <c r="AB82" s="30">
        <v>502.78250000000003</v>
      </c>
      <c r="AC82" s="42">
        <v>0</v>
      </c>
      <c r="AD82" s="28"/>
    </row>
    <row r="83" spans="1:30" x14ac:dyDescent="0.2">
      <c r="B83" s="29"/>
      <c r="C83" s="26"/>
      <c r="D83" s="26" t="s">
        <v>78</v>
      </c>
      <c r="E83" s="26"/>
      <c r="F83" s="26"/>
      <c r="G83" s="28"/>
      <c r="H83" s="30">
        <v>0</v>
      </c>
      <c r="I83" s="42">
        <v>0</v>
      </c>
      <c r="J83" s="28"/>
      <c r="L83" s="30">
        <v>0</v>
      </c>
      <c r="M83" s="42">
        <v>0</v>
      </c>
      <c r="N83" s="28"/>
      <c r="P83" s="30">
        <v>0</v>
      </c>
      <c r="Q83" s="42">
        <v>0</v>
      </c>
      <c r="R83" s="28"/>
      <c r="T83" s="30">
        <v>0</v>
      </c>
      <c r="U83" s="42">
        <v>0</v>
      </c>
      <c r="V83" s="28"/>
      <c r="X83" s="30">
        <f t="shared" si="10"/>
        <v>0</v>
      </c>
      <c r="Y83" s="42">
        <v>0</v>
      </c>
      <c r="Z83" s="28"/>
      <c r="AB83" s="30">
        <v>0</v>
      </c>
      <c r="AC83" s="42">
        <v>0</v>
      </c>
      <c r="AD83" s="28"/>
    </row>
    <row r="84" spans="1:30" x14ac:dyDescent="0.2">
      <c r="B84" s="29"/>
      <c r="C84" s="26"/>
      <c r="D84" s="26" t="s">
        <v>79</v>
      </c>
      <c r="E84" s="26"/>
      <c r="F84" s="26"/>
      <c r="G84" s="28"/>
      <c r="H84" s="30">
        <v>0</v>
      </c>
      <c r="I84" s="42">
        <v>0</v>
      </c>
      <c r="J84" s="28"/>
      <c r="L84" s="30">
        <v>0</v>
      </c>
      <c r="M84" s="42">
        <v>0</v>
      </c>
      <c r="N84" s="28"/>
      <c r="P84" s="30">
        <v>0</v>
      </c>
      <c r="Q84" s="42">
        <v>0</v>
      </c>
      <c r="R84" s="28"/>
      <c r="T84" s="30">
        <v>0</v>
      </c>
      <c r="U84" s="42">
        <v>0</v>
      </c>
      <c r="V84" s="28"/>
      <c r="X84" s="30">
        <f t="shared" si="10"/>
        <v>0</v>
      </c>
      <c r="Y84" s="42">
        <v>0</v>
      </c>
      <c r="Z84" s="28"/>
      <c r="AB84" s="30">
        <v>0</v>
      </c>
      <c r="AC84" s="42">
        <v>0</v>
      </c>
      <c r="AD84" s="28"/>
    </row>
    <row r="85" spans="1:30" x14ac:dyDescent="0.2">
      <c r="B85" s="29"/>
      <c r="C85" s="26"/>
      <c r="D85" s="26" t="s">
        <v>80</v>
      </c>
      <c r="E85" s="26"/>
      <c r="F85" s="26"/>
      <c r="G85" s="28"/>
      <c r="H85" s="30">
        <v>0</v>
      </c>
      <c r="I85" s="42">
        <v>0</v>
      </c>
      <c r="J85" s="28"/>
      <c r="L85" s="30">
        <v>0</v>
      </c>
      <c r="M85" s="42">
        <v>0</v>
      </c>
      <c r="N85" s="28"/>
      <c r="P85" s="30">
        <v>0</v>
      </c>
      <c r="Q85" s="42">
        <v>0</v>
      </c>
      <c r="R85" s="28"/>
      <c r="T85" s="30">
        <v>0</v>
      </c>
      <c r="U85" s="42">
        <v>0</v>
      </c>
      <c r="V85" s="28"/>
      <c r="X85" s="30">
        <f t="shared" si="10"/>
        <v>0</v>
      </c>
      <c r="Y85" s="42">
        <v>0</v>
      </c>
      <c r="Z85" s="28"/>
      <c r="AB85" s="30">
        <v>0</v>
      </c>
      <c r="AC85" s="42">
        <v>0</v>
      </c>
      <c r="AD85" s="28"/>
    </row>
    <row r="86" spans="1:30" x14ac:dyDescent="0.2">
      <c r="B86" s="29"/>
      <c r="D86" s="26"/>
      <c r="E86" s="21" t="s">
        <v>31</v>
      </c>
      <c r="F86" s="26"/>
      <c r="G86" s="28"/>
      <c r="H86" s="84">
        <v>50725.220499999996</v>
      </c>
      <c r="I86" s="43">
        <v>0.14137302327980406</v>
      </c>
      <c r="J86" s="28"/>
      <c r="L86" s="84">
        <v>48043.118333333325</v>
      </c>
      <c r="M86" s="43">
        <v>0.12128784747332527</v>
      </c>
      <c r="N86" s="28"/>
      <c r="P86" s="84">
        <v>24984.995500000001</v>
      </c>
      <c r="Q86" s="43">
        <v>5.9634457540567599E-2</v>
      </c>
      <c r="R86" s="28"/>
      <c r="T86" s="84">
        <v>33806.362857142856</v>
      </c>
      <c r="U86" s="43">
        <v>0.14124941526827411</v>
      </c>
      <c r="V86" s="28"/>
      <c r="X86" s="84">
        <f t="shared" si="10"/>
        <v>39389.924297619044</v>
      </c>
      <c r="Y86" s="43">
        <v>0.14124941526827411</v>
      </c>
      <c r="Z86" s="28"/>
      <c r="AB86" s="84">
        <f>SUM(AB72:AB85)</f>
        <v>38291.50973593074</v>
      </c>
      <c r="AC86" s="43">
        <v>0.14124941526827411</v>
      </c>
      <c r="AD86" s="28"/>
    </row>
    <row r="87" spans="1:30" x14ac:dyDescent="0.2">
      <c r="B87" s="29"/>
      <c r="C87" s="26"/>
      <c r="D87" s="26"/>
      <c r="E87" s="26"/>
      <c r="F87" s="26"/>
      <c r="G87" s="28"/>
      <c r="H87" s="87"/>
      <c r="I87" s="31"/>
      <c r="J87" s="28"/>
      <c r="L87" s="87"/>
      <c r="M87" s="31"/>
      <c r="N87" s="28"/>
      <c r="P87" s="87"/>
      <c r="Q87" s="31"/>
      <c r="R87" s="28"/>
      <c r="T87" s="87"/>
      <c r="U87" s="31"/>
      <c r="V87" s="28"/>
      <c r="X87" s="87"/>
      <c r="Y87" s="31"/>
      <c r="Z87" s="28"/>
      <c r="AB87" s="87"/>
      <c r="AC87" s="31"/>
      <c r="AD87" s="28"/>
    </row>
    <row r="88" spans="1:30" ht="16" x14ac:dyDescent="0.2">
      <c r="A88" s="13"/>
      <c r="B88" s="10" t="s">
        <v>51</v>
      </c>
      <c r="C88" s="13"/>
      <c r="D88" s="76"/>
      <c r="E88" s="78"/>
      <c r="F88" s="76"/>
      <c r="G88" s="97"/>
      <c r="H88" s="98"/>
      <c r="I88" s="99"/>
      <c r="J88" s="97"/>
      <c r="L88" s="98"/>
      <c r="M88" s="99"/>
      <c r="N88" s="97"/>
      <c r="P88" s="98"/>
      <c r="Q88" s="99"/>
      <c r="R88" s="97"/>
      <c r="T88" s="98"/>
      <c r="U88" s="99"/>
      <c r="V88" s="97"/>
      <c r="X88" s="98"/>
      <c r="Y88" s="99"/>
      <c r="Z88" s="97"/>
      <c r="AB88" s="98"/>
      <c r="AC88" s="99"/>
      <c r="AD88" s="97"/>
    </row>
    <row r="89" spans="1:30" x14ac:dyDescent="0.2">
      <c r="A89"/>
      <c r="B89" s="5"/>
      <c r="C89" s="26"/>
      <c r="D89" s="26" t="s">
        <v>81</v>
      </c>
      <c r="E89" s="26"/>
      <c r="F89" s="26"/>
      <c r="G89" s="28"/>
      <c r="H89" s="6">
        <v>2230.0787500000001</v>
      </c>
      <c r="I89" s="11">
        <v>6.2153100948973972E-3</v>
      </c>
      <c r="J89" s="4"/>
      <c r="L89" s="6">
        <v>2085.2687499999997</v>
      </c>
      <c r="M89" s="11">
        <v>5.2643909651345832E-3</v>
      </c>
      <c r="N89" s="4"/>
      <c r="P89" s="6">
        <v>3073.6972727272728</v>
      </c>
      <c r="Q89" s="11">
        <v>7.336333901001222E-3</v>
      </c>
      <c r="R89" s="4"/>
      <c r="T89" s="6">
        <v>0</v>
      </c>
      <c r="U89" s="11">
        <v>0</v>
      </c>
      <c r="V89" s="4"/>
      <c r="X89" s="6">
        <f t="shared" ref="X89:X93" si="11">AVERAGE(H89,L89,P89,T89)</f>
        <v>1847.2611931818183</v>
      </c>
      <c r="Y89" s="11">
        <v>0</v>
      </c>
      <c r="Z89" s="4"/>
      <c r="AB89" s="6">
        <v>1847.2611931818183</v>
      </c>
      <c r="AC89" s="11">
        <v>0</v>
      </c>
      <c r="AD89" s="4"/>
    </row>
    <row r="90" spans="1:30" x14ac:dyDescent="0.2">
      <c r="A90"/>
      <c r="B90" s="5"/>
      <c r="C90" s="26"/>
      <c r="D90" s="26" t="s">
        <v>82</v>
      </c>
      <c r="E90" s="26"/>
      <c r="F90" s="26"/>
      <c r="G90" s="28"/>
      <c r="H90" s="6">
        <v>1851.6116666666669</v>
      </c>
      <c r="I90" s="11">
        <v>5.1605086518416122E-3</v>
      </c>
      <c r="J90" s="4"/>
      <c r="L90" s="6">
        <v>1884.4933333333336</v>
      </c>
      <c r="M90" s="11">
        <v>4.7575209084471035E-3</v>
      </c>
      <c r="N90" s="4"/>
      <c r="P90" s="6">
        <v>2334.6731666666665</v>
      </c>
      <c r="Q90" s="11">
        <v>5.5724231700856547E-3</v>
      </c>
      <c r="R90" s="4"/>
      <c r="T90" s="6">
        <v>3666.0071428571432</v>
      </c>
      <c r="U90" s="11">
        <v>1.5176522336539999E-2</v>
      </c>
      <c r="V90" s="4"/>
      <c r="X90" s="6">
        <f t="shared" si="11"/>
        <v>2434.1963273809524</v>
      </c>
      <c r="Y90" s="11">
        <v>1.5176522336539999E-2</v>
      </c>
      <c r="Z90" s="4"/>
      <c r="AB90" s="6">
        <v>2434.1963273809524</v>
      </c>
      <c r="AC90" s="11">
        <v>1.5176522336539999E-2</v>
      </c>
      <c r="AD90" s="4"/>
    </row>
    <row r="91" spans="1:30" x14ac:dyDescent="0.2">
      <c r="A91"/>
      <c r="B91" s="5"/>
      <c r="C91" s="26"/>
      <c r="D91" s="26" t="s">
        <v>83</v>
      </c>
      <c r="E91" s="26"/>
      <c r="F91" s="26"/>
      <c r="G91" s="28"/>
      <c r="H91" s="6">
        <v>0</v>
      </c>
      <c r="I91" s="11">
        <v>0</v>
      </c>
      <c r="J91" s="4"/>
      <c r="L91" s="6">
        <v>0</v>
      </c>
      <c r="M91" s="11">
        <v>0</v>
      </c>
      <c r="N91" s="4"/>
      <c r="P91" s="6">
        <v>0</v>
      </c>
      <c r="Q91" s="11">
        <v>0</v>
      </c>
      <c r="R91" s="4"/>
      <c r="T91" s="6">
        <v>0</v>
      </c>
      <c r="U91" s="11">
        <v>0</v>
      </c>
      <c r="V91" s="4"/>
      <c r="X91" s="6">
        <f t="shared" si="11"/>
        <v>0</v>
      </c>
      <c r="Y91" s="11">
        <v>0</v>
      </c>
      <c r="Z91" s="4"/>
      <c r="AB91" s="6">
        <v>0</v>
      </c>
      <c r="AC91" s="11">
        <v>0</v>
      </c>
      <c r="AD91" s="4"/>
    </row>
    <row r="92" spans="1:30" x14ac:dyDescent="0.2">
      <c r="A92"/>
      <c r="B92" s="5"/>
      <c r="C92" s="26"/>
      <c r="D92" s="26" t="s">
        <v>84</v>
      </c>
      <c r="E92" s="26"/>
      <c r="F92" s="26"/>
      <c r="G92" s="28"/>
      <c r="H92" s="6">
        <v>0</v>
      </c>
      <c r="I92" s="11">
        <v>0</v>
      </c>
      <c r="J92" s="4"/>
      <c r="L92" s="6">
        <v>0</v>
      </c>
      <c r="M92" s="11">
        <v>0</v>
      </c>
      <c r="N92" s="4"/>
      <c r="P92" s="6">
        <v>0</v>
      </c>
      <c r="Q92" s="11">
        <v>0</v>
      </c>
      <c r="R92" s="4"/>
      <c r="T92" s="6">
        <v>0</v>
      </c>
      <c r="U92" s="11">
        <v>0</v>
      </c>
      <c r="V92" s="4"/>
      <c r="X92" s="6">
        <f t="shared" si="11"/>
        <v>0</v>
      </c>
      <c r="Y92" s="11">
        <v>0</v>
      </c>
      <c r="Z92" s="4"/>
      <c r="AB92" s="6">
        <v>0</v>
      </c>
      <c r="AC92" s="11">
        <v>0</v>
      </c>
      <c r="AD92" s="4"/>
    </row>
    <row r="93" spans="1:30" x14ac:dyDescent="0.2">
      <c r="A93"/>
      <c r="B93" s="5"/>
      <c r="C93"/>
      <c r="D93" s="2"/>
      <c r="E93" s="1" t="s">
        <v>31</v>
      </c>
      <c r="F93" s="2"/>
      <c r="G93" s="4"/>
      <c r="H93" s="8">
        <v>3338.3308333333339</v>
      </c>
      <c r="I93" s="12">
        <v>9.304048715106544E-3</v>
      </c>
      <c r="J93" s="4"/>
      <c r="L93" s="8">
        <v>3274.6725000000006</v>
      </c>
      <c r="M93" s="12">
        <v>8.2671148852034946E-3</v>
      </c>
      <c r="N93" s="4"/>
      <c r="P93" s="8">
        <v>5445.6320000000005</v>
      </c>
      <c r="Q93" s="12">
        <v>1.2997693367027273E-2</v>
      </c>
      <c r="R93" s="4"/>
      <c r="T93" s="8">
        <v>3666.0071428571432</v>
      </c>
      <c r="U93" s="12">
        <v>1.5176522336539999E-2</v>
      </c>
      <c r="V93" s="4"/>
      <c r="X93" s="8">
        <f t="shared" si="11"/>
        <v>3931.1606190476195</v>
      </c>
      <c r="Y93" s="12">
        <v>1.5176522336539999E-2</v>
      </c>
      <c r="Z93" s="4"/>
      <c r="AB93" s="8">
        <f>SUM(AB89:AB92)</f>
        <v>4281.4575205627707</v>
      </c>
      <c r="AC93" s="12">
        <v>1.5176522336539999E-2</v>
      </c>
      <c r="AD93" s="4"/>
    </row>
    <row r="94" spans="1:30" x14ac:dyDescent="0.2">
      <c r="A94" s="13"/>
      <c r="B94" s="96"/>
      <c r="C94" s="13"/>
      <c r="D94" s="76"/>
      <c r="E94" s="78"/>
      <c r="F94" s="76"/>
      <c r="G94" s="97"/>
      <c r="H94" s="98"/>
      <c r="I94" s="99"/>
      <c r="J94" s="97"/>
      <c r="L94" s="98"/>
      <c r="M94" s="99"/>
      <c r="N94" s="97"/>
      <c r="P94" s="98"/>
      <c r="Q94" s="99"/>
      <c r="R94" s="97"/>
      <c r="T94" s="98"/>
      <c r="U94" s="99"/>
      <c r="V94" s="97"/>
      <c r="X94" s="98"/>
      <c r="Y94" s="99"/>
      <c r="Z94" s="97"/>
      <c r="AB94" s="98"/>
      <c r="AC94" s="99"/>
      <c r="AD94" s="97"/>
    </row>
    <row r="95" spans="1:30" x14ac:dyDescent="0.2">
      <c r="B95" s="41" t="s">
        <v>32</v>
      </c>
      <c r="C95" s="26"/>
      <c r="D95" s="21"/>
      <c r="E95" s="26"/>
      <c r="F95" s="26"/>
      <c r="G95" s="28"/>
      <c r="H95" s="87"/>
      <c r="I95" s="31"/>
      <c r="J95" s="28"/>
      <c r="L95" s="87"/>
      <c r="M95" s="31"/>
      <c r="N95" s="28"/>
      <c r="P95" s="87"/>
      <c r="Q95" s="31"/>
      <c r="R95" s="28"/>
      <c r="T95" s="87"/>
      <c r="U95" s="31"/>
      <c r="V95" s="28"/>
      <c r="X95" s="87"/>
      <c r="Y95" s="31"/>
      <c r="Z95" s="28"/>
      <c r="AB95" s="87"/>
      <c r="AC95" s="31"/>
      <c r="AD95" s="28"/>
    </row>
    <row r="96" spans="1:30" x14ac:dyDescent="0.2">
      <c r="B96" s="29"/>
      <c r="C96" s="26"/>
      <c r="D96" s="26" t="s">
        <v>33</v>
      </c>
      <c r="E96" s="26"/>
      <c r="F96" s="26"/>
      <c r="G96" s="28"/>
      <c r="H96" s="30">
        <v>375</v>
      </c>
      <c r="I96" s="42">
        <v>1.0451385564687003E-3</v>
      </c>
      <c r="J96" s="28"/>
      <c r="L96" s="30">
        <v>0</v>
      </c>
      <c r="M96" s="42">
        <v>0</v>
      </c>
      <c r="N96" s="28"/>
      <c r="P96" s="30">
        <v>0</v>
      </c>
      <c r="Q96" s="42">
        <v>0</v>
      </c>
      <c r="R96" s="28"/>
      <c r="T96" s="30">
        <v>0</v>
      </c>
      <c r="U96" s="42">
        <v>0</v>
      </c>
      <c r="V96" s="28"/>
      <c r="X96" s="30">
        <f t="shared" ref="X96:X102" si="12">AVERAGE(H96,L96,P96,T96)</f>
        <v>93.75</v>
      </c>
      <c r="Y96" s="42">
        <v>0</v>
      </c>
      <c r="Z96" s="28"/>
      <c r="AB96" s="30">
        <v>93.75</v>
      </c>
      <c r="AC96" s="42">
        <v>0</v>
      </c>
      <c r="AD96" s="28"/>
    </row>
    <row r="97" spans="2:33" x14ac:dyDescent="0.2">
      <c r="B97" s="29"/>
      <c r="C97" s="26"/>
      <c r="D97" s="26" t="s">
        <v>41</v>
      </c>
      <c r="E97" s="26"/>
      <c r="F97" s="26"/>
      <c r="G97" s="28"/>
      <c r="H97" s="30">
        <v>0</v>
      </c>
      <c r="I97" s="42">
        <v>0</v>
      </c>
      <c r="J97" s="28"/>
      <c r="L97" s="30">
        <v>0</v>
      </c>
      <c r="M97" s="42">
        <v>0</v>
      </c>
      <c r="N97" s="28"/>
      <c r="P97" s="30">
        <v>0</v>
      </c>
      <c r="Q97" s="42">
        <v>0</v>
      </c>
      <c r="R97" s="28"/>
      <c r="T97" s="30">
        <v>0</v>
      </c>
      <c r="U97" s="42">
        <v>0</v>
      </c>
      <c r="V97" s="28"/>
      <c r="X97" s="30">
        <f t="shared" si="12"/>
        <v>0</v>
      </c>
      <c r="Y97" s="42">
        <v>0</v>
      </c>
      <c r="Z97" s="28"/>
      <c r="AB97" s="30">
        <v>0</v>
      </c>
      <c r="AC97" s="42">
        <v>0</v>
      </c>
      <c r="AD97" s="28"/>
    </row>
    <row r="98" spans="2:33" x14ac:dyDescent="0.2">
      <c r="B98" s="29"/>
      <c r="C98" s="26"/>
      <c r="D98" s="26" t="s">
        <v>85</v>
      </c>
      <c r="E98" s="26"/>
      <c r="F98" s="26"/>
      <c r="G98" s="28"/>
      <c r="H98" s="30">
        <v>93.45</v>
      </c>
      <c r="I98" s="42">
        <v>2.6044852827200013E-4</v>
      </c>
      <c r="J98" s="28"/>
      <c r="L98" s="30">
        <v>84.954545454545453</v>
      </c>
      <c r="M98" s="42">
        <v>2.1447304647807358E-4</v>
      </c>
      <c r="N98" s="28"/>
      <c r="P98" s="30">
        <v>69.75</v>
      </c>
      <c r="Q98" s="42">
        <v>1.6648005453731579E-4</v>
      </c>
      <c r="R98" s="28"/>
      <c r="T98" s="30">
        <v>0</v>
      </c>
      <c r="U98" s="42">
        <v>0</v>
      </c>
      <c r="V98" s="28"/>
      <c r="X98" s="30">
        <f t="shared" si="12"/>
        <v>62.038636363636364</v>
      </c>
      <c r="Y98" s="42">
        <v>0</v>
      </c>
      <c r="Z98" s="28"/>
      <c r="AB98" s="30">
        <v>62.038636363636364</v>
      </c>
      <c r="AC98" s="42">
        <v>0</v>
      </c>
      <c r="AD98" s="28"/>
    </row>
    <row r="99" spans="2:33" x14ac:dyDescent="0.2">
      <c r="B99" s="29"/>
      <c r="C99" s="26"/>
      <c r="D99" s="26" t="s">
        <v>86</v>
      </c>
      <c r="E99" s="26"/>
      <c r="F99" s="26"/>
      <c r="G99" s="28"/>
      <c r="H99" s="30">
        <v>94.909090909090907</v>
      </c>
      <c r="I99" s="42">
        <v>2.6451506738262378E-4</v>
      </c>
      <c r="J99" s="28"/>
      <c r="L99" s="30">
        <v>0</v>
      </c>
      <c r="M99" s="42">
        <v>0</v>
      </c>
      <c r="N99" s="28"/>
      <c r="P99" s="30">
        <v>150</v>
      </c>
      <c r="Q99" s="42">
        <v>3.5802162266089418E-4</v>
      </c>
      <c r="R99" s="28"/>
      <c r="T99" s="30">
        <v>0</v>
      </c>
      <c r="U99" s="42">
        <v>0</v>
      </c>
      <c r="V99" s="28"/>
      <c r="X99" s="30">
        <f t="shared" si="12"/>
        <v>61.227272727272727</v>
      </c>
      <c r="Y99" s="42">
        <v>0</v>
      </c>
      <c r="Z99" s="28"/>
      <c r="AB99" s="30">
        <v>61.227272727272727</v>
      </c>
      <c r="AC99" s="42">
        <v>0</v>
      </c>
      <c r="AD99" s="28"/>
    </row>
    <row r="100" spans="2:33" x14ac:dyDescent="0.2">
      <c r="B100" s="29"/>
      <c r="C100" s="26"/>
      <c r="D100" s="26" t="s">
        <v>87</v>
      </c>
      <c r="E100" s="26"/>
      <c r="F100" s="26"/>
      <c r="G100" s="28"/>
      <c r="H100" s="30">
        <v>0</v>
      </c>
      <c r="I100" s="42">
        <v>0</v>
      </c>
      <c r="J100" s="28"/>
      <c r="L100" s="30">
        <v>0</v>
      </c>
      <c r="M100" s="42">
        <v>0</v>
      </c>
      <c r="N100" s="28"/>
      <c r="P100" s="30">
        <v>0</v>
      </c>
      <c r="Q100" s="42">
        <v>0</v>
      </c>
      <c r="R100" s="28"/>
      <c r="T100" s="30">
        <v>0</v>
      </c>
      <c r="U100" s="42">
        <v>0</v>
      </c>
      <c r="V100" s="28"/>
      <c r="X100" s="30">
        <f t="shared" si="12"/>
        <v>0</v>
      </c>
      <c r="Y100" s="42">
        <v>0</v>
      </c>
      <c r="Z100" s="28"/>
      <c r="AB100" s="30">
        <v>0</v>
      </c>
      <c r="AC100" s="42">
        <v>0</v>
      </c>
      <c r="AD100" s="28"/>
    </row>
    <row r="101" spans="2:33" x14ac:dyDescent="0.2">
      <c r="B101" s="29"/>
      <c r="C101" s="26"/>
      <c r="D101" s="26" t="s">
        <v>65</v>
      </c>
      <c r="E101" s="26"/>
      <c r="F101" s="26"/>
      <c r="G101" s="28"/>
      <c r="H101" s="30">
        <v>0</v>
      </c>
      <c r="I101" s="42">
        <v>0</v>
      </c>
      <c r="J101" s="28"/>
      <c r="L101" s="30">
        <v>0</v>
      </c>
      <c r="M101" s="42">
        <v>0</v>
      </c>
      <c r="N101" s="28"/>
      <c r="P101" s="30">
        <v>0</v>
      </c>
      <c r="Q101" s="42">
        <v>0</v>
      </c>
      <c r="R101" s="28"/>
      <c r="T101" s="30">
        <v>0</v>
      </c>
      <c r="U101" s="42">
        <v>0</v>
      </c>
      <c r="V101" s="28"/>
      <c r="X101" s="30">
        <f t="shared" si="12"/>
        <v>0</v>
      </c>
      <c r="Y101" s="42">
        <v>0</v>
      </c>
      <c r="Z101" s="28"/>
      <c r="AB101" s="30">
        <v>0</v>
      </c>
      <c r="AC101" s="42">
        <v>0</v>
      </c>
      <c r="AD101" s="28"/>
    </row>
    <row r="102" spans="2:33" x14ac:dyDescent="0.2">
      <c r="B102" s="29"/>
      <c r="D102" s="26"/>
      <c r="E102" s="21" t="s">
        <v>34</v>
      </c>
      <c r="F102" s="26"/>
      <c r="G102" s="28"/>
      <c r="H102" s="84">
        <v>539.875</v>
      </c>
      <c r="I102" s="43">
        <v>1.5046511417961055E-3</v>
      </c>
      <c r="J102" s="28"/>
      <c r="L102" s="84">
        <v>77.875</v>
      </c>
      <c r="M102" s="43">
        <v>1.9660029260490079E-4</v>
      </c>
      <c r="N102" s="28"/>
      <c r="P102" s="84">
        <v>219.75</v>
      </c>
      <c r="Q102" s="43">
        <v>5.2450167719820997E-4</v>
      </c>
      <c r="R102" s="28"/>
      <c r="T102" s="84">
        <v>0</v>
      </c>
      <c r="U102" s="43">
        <v>0</v>
      </c>
      <c r="V102" s="28"/>
      <c r="X102" s="84">
        <f t="shared" si="12"/>
        <v>209.375</v>
      </c>
      <c r="Y102" s="43">
        <v>0</v>
      </c>
      <c r="Z102" s="28"/>
      <c r="AB102" s="84">
        <f>SUM(AB96:AB101)</f>
        <v>217.01590909090908</v>
      </c>
      <c r="AC102" s="43">
        <v>0</v>
      </c>
      <c r="AD102" s="28"/>
    </row>
    <row r="103" spans="2:33" x14ac:dyDescent="0.2">
      <c r="B103" s="29"/>
      <c r="C103" s="26"/>
      <c r="D103" s="26"/>
      <c r="E103" s="26"/>
      <c r="F103" s="26"/>
      <c r="G103" s="28"/>
      <c r="H103" s="87"/>
      <c r="I103" s="31"/>
      <c r="J103" s="28"/>
      <c r="L103" s="87"/>
      <c r="M103" s="31"/>
      <c r="N103" s="28"/>
      <c r="P103" s="87"/>
      <c r="Q103" s="31"/>
      <c r="R103" s="28"/>
      <c r="T103" s="87"/>
      <c r="U103" s="31"/>
      <c r="V103" s="28"/>
      <c r="X103" s="87"/>
      <c r="Y103" s="31"/>
      <c r="Z103" s="28"/>
      <c r="AB103" s="87"/>
      <c r="AC103" s="31"/>
      <c r="AD103" s="28"/>
    </row>
    <row r="104" spans="2:33" x14ac:dyDescent="0.2">
      <c r="B104" s="48"/>
      <c r="C104" s="56"/>
      <c r="D104" s="56" t="s">
        <v>35</v>
      </c>
      <c r="E104" s="56"/>
      <c r="F104" s="52"/>
      <c r="G104" s="53"/>
      <c r="H104" s="88">
        <v>91231.882173333317</v>
      </c>
      <c r="I104" s="54">
        <v>0.25701507371542459</v>
      </c>
      <c r="J104" s="55"/>
      <c r="L104" s="88">
        <v>88349.791706666685</v>
      </c>
      <c r="M104" s="54">
        <v>0.22529500129252253</v>
      </c>
      <c r="N104" s="55"/>
      <c r="P104" s="88">
        <v>66989.015450000006</v>
      </c>
      <c r="Q104" s="54">
        <v>0.16031530449979062</v>
      </c>
      <c r="R104" s="55"/>
      <c r="T104" s="88">
        <v>56766.870800000012</v>
      </c>
      <c r="U104" s="54">
        <v>0.23380857716853987</v>
      </c>
      <c r="V104" s="55"/>
      <c r="X104" s="88">
        <f>AVERAGE(H104,L104,P104,T104)</f>
        <v>75834.390032500014</v>
      </c>
      <c r="Y104" s="54">
        <v>0.23380857716853987</v>
      </c>
      <c r="Z104" s="55"/>
      <c r="AB104" s="88">
        <f>AB68+AB86+AB93+AB102</f>
        <v>75093.913281417757</v>
      </c>
      <c r="AC104" s="54">
        <v>0.23380857716853987</v>
      </c>
      <c r="AD104" s="55"/>
    </row>
    <row r="105" spans="2:33" x14ac:dyDescent="0.2">
      <c r="B105" s="29"/>
      <c r="C105" s="26"/>
      <c r="D105" s="26"/>
      <c r="E105" s="26"/>
      <c r="F105" s="26"/>
      <c r="G105" s="57"/>
      <c r="H105" s="29"/>
      <c r="I105" s="26"/>
      <c r="J105" s="57"/>
      <c r="L105" s="29"/>
      <c r="M105" s="26"/>
      <c r="N105" s="57"/>
      <c r="P105" s="29"/>
      <c r="Q105" s="26"/>
      <c r="R105" s="57"/>
      <c r="T105" s="29"/>
      <c r="U105" s="26"/>
      <c r="V105" s="57"/>
      <c r="X105" s="29"/>
      <c r="Y105" s="26"/>
      <c r="Z105" s="57"/>
      <c r="AB105" s="29"/>
      <c r="AC105" s="26"/>
      <c r="AD105" s="57"/>
    </row>
    <row r="106" spans="2:33" x14ac:dyDescent="0.2">
      <c r="B106" s="48"/>
      <c r="C106" s="56"/>
      <c r="D106" s="56" t="s">
        <v>36</v>
      </c>
      <c r="E106" s="56"/>
      <c r="F106" s="52"/>
      <c r="G106" s="53"/>
      <c r="H106" s="88">
        <v>279297.84717333334</v>
      </c>
      <c r="I106" s="54">
        <v>0.78428234893490067</v>
      </c>
      <c r="J106" s="55"/>
      <c r="L106" s="88">
        <v>285710.11545666674</v>
      </c>
      <c r="M106" s="54">
        <v>0.72709098146054973</v>
      </c>
      <c r="N106" s="55"/>
      <c r="P106" s="88">
        <v>270562.16045000002</v>
      </c>
      <c r="Q106" s="54">
        <v>0.64681269372991601</v>
      </c>
      <c r="R106" s="55"/>
      <c r="T106" s="88">
        <v>191918.09651428572</v>
      </c>
      <c r="U106" s="54">
        <v>0.79942199551005977</v>
      </c>
      <c r="V106" s="55"/>
      <c r="X106" s="88">
        <f>AVERAGE(H106,L106,P106,T106)</f>
        <v>256872.05489857146</v>
      </c>
      <c r="Y106" s="54">
        <v>0.79942199551005977</v>
      </c>
      <c r="Z106" s="55"/>
      <c r="AB106" s="88">
        <f>AB48+AB104</f>
        <v>240109.78760042175</v>
      </c>
      <c r="AC106" s="54">
        <v>0.79942199551005977</v>
      </c>
      <c r="AD106" s="55"/>
    </row>
    <row r="107" spans="2:33" ht="16" thickBot="1" x14ac:dyDescent="0.25">
      <c r="B107" s="29"/>
      <c r="C107" s="26"/>
      <c r="D107" s="26"/>
      <c r="E107" s="26"/>
      <c r="F107" s="26"/>
      <c r="G107" s="57"/>
      <c r="H107" s="29"/>
      <c r="I107" s="26"/>
      <c r="J107" s="57"/>
      <c r="L107" s="29"/>
      <c r="M107" s="26"/>
      <c r="N107" s="57"/>
      <c r="P107" s="29"/>
      <c r="Q107" s="26"/>
      <c r="R107" s="57"/>
      <c r="T107" s="29"/>
      <c r="U107" s="26"/>
      <c r="V107" s="57"/>
      <c r="X107" s="29"/>
      <c r="Y107" s="26"/>
      <c r="Z107" s="57"/>
      <c r="AB107" s="29"/>
      <c r="AC107" s="26"/>
      <c r="AD107" s="57"/>
    </row>
    <row r="108" spans="2:33" ht="16" thickBot="1" x14ac:dyDescent="0.25">
      <c r="B108" s="58" t="s">
        <v>39</v>
      </c>
      <c r="C108" s="59"/>
      <c r="D108" s="59"/>
      <c r="E108" s="60"/>
      <c r="F108" s="60"/>
      <c r="G108" s="61"/>
      <c r="H108" s="62">
        <v>79506.253660000002</v>
      </c>
      <c r="I108" s="63">
        <v>0.21571765106509944</v>
      </c>
      <c r="J108" s="61"/>
      <c r="L108" s="62">
        <v>110398.14546287358</v>
      </c>
      <c r="M108" s="63">
        <v>0.27290901853945021</v>
      </c>
      <c r="N108" s="61"/>
      <c r="P108" s="62">
        <v>148406.94785459773</v>
      </c>
      <c r="Q108" s="63">
        <v>0.35318730627008393</v>
      </c>
      <c r="R108" s="61"/>
      <c r="T108" s="62">
        <v>49716.312057142859</v>
      </c>
      <c r="U108" s="63">
        <v>0.20057800448994026</v>
      </c>
      <c r="V108" s="61"/>
      <c r="X108" s="62">
        <f>AVERAGE(H108,L108,P108,T108)</f>
        <v>97006.91475865354</v>
      </c>
      <c r="Y108" s="63">
        <f>AVERAGE(I108,M108,Q108,U108)</f>
        <v>0.26059799509114345</v>
      </c>
      <c r="Z108" s="61"/>
      <c r="AB108" s="62">
        <f>AB16-AB106</f>
        <v>61614.350330612739</v>
      </c>
      <c r="AC108" s="63">
        <f>AB108/AB$16</f>
        <v>0.20420756109574506</v>
      </c>
      <c r="AD108" s="61"/>
      <c r="AG108">
        <v>900000</v>
      </c>
    </row>
    <row r="109" spans="2:33" x14ac:dyDescent="0.2">
      <c r="B109" s="69"/>
      <c r="C109" s="70"/>
      <c r="D109" s="70"/>
      <c r="E109" s="70"/>
      <c r="F109" s="70"/>
      <c r="G109" s="71"/>
      <c r="H109" s="90"/>
      <c r="I109" s="91"/>
      <c r="J109" s="92"/>
      <c r="L109" s="90"/>
      <c r="M109" s="91"/>
      <c r="N109" s="92"/>
      <c r="P109" s="90"/>
      <c r="Q109" s="91"/>
      <c r="R109" s="92"/>
      <c r="T109" s="90"/>
      <c r="U109" s="91"/>
      <c r="V109" s="92"/>
      <c r="X109" s="90"/>
      <c r="Y109" s="91"/>
      <c r="Z109" s="92"/>
      <c r="AB109" s="90"/>
      <c r="AC109" s="91"/>
      <c r="AD109" s="92"/>
      <c r="AG109" s="103">
        <f>+AG108/AB108</f>
        <v>14.606986768029593</v>
      </c>
    </row>
    <row r="110" spans="2:33" x14ac:dyDescent="0.2">
      <c r="B110" s="67"/>
      <c r="C110" s="66" t="s">
        <v>42</v>
      </c>
      <c r="D110" s="66"/>
      <c r="E110" s="66"/>
      <c r="F110" s="68"/>
      <c r="G110" s="64"/>
      <c r="H110" s="30">
        <v>0</v>
      </c>
      <c r="I110" s="42" t="e">
        <v>#DIV/0!</v>
      </c>
      <c r="J110" s="28"/>
      <c r="L110" s="30">
        <v>0</v>
      </c>
      <c r="M110" s="42" t="e">
        <v>#DIV/0!</v>
      </c>
      <c r="N110" s="28"/>
      <c r="P110" s="30">
        <v>0</v>
      </c>
      <c r="Q110" s="42" t="e">
        <v>#DIV/0!</v>
      </c>
      <c r="R110" s="28"/>
      <c r="T110" s="30">
        <v>0</v>
      </c>
      <c r="U110" s="42" t="e">
        <v>#DIV/0!</v>
      </c>
      <c r="V110" s="28"/>
      <c r="X110" s="30">
        <v>0</v>
      </c>
      <c r="Y110" s="42" t="e">
        <v>#DIV/0!</v>
      </c>
      <c r="Z110" s="28"/>
      <c r="AB110" s="30">
        <v>0</v>
      </c>
      <c r="AC110" s="42" t="e">
        <v>#DIV/0!</v>
      </c>
      <c r="AD110" s="28"/>
      <c r="AG110" s="103"/>
    </row>
    <row r="111" spans="2:33" x14ac:dyDescent="0.2">
      <c r="B111" s="67"/>
      <c r="C111" s="66" t="s">
        <v>44</v>
      </c>
      <c r="D111" s="66"/>
      <c r="E111" s="66"/>
      <c r="F111" s="68"/>
      <c r="G111" s="64"/>
      <c r="H111" s="30">
        <v>0</v>
      </c>
      <c r="I111" s="42">
        <v>0</v>
      </c>
      <c r="J111" s="28"/>
      <c r="L111" s="30">
        <v>0</v>
      </c>
      <c r="M111" s="42">
        <v>0</v>
      </c>
      <c r="N111" s="28"/>
      <c r="P111" s="30">
        <v>0</v>
      </c>
      <c r="Q111" s="42">
        <v>0</v>
      </c>
      <c r="R111" s="28"/>
      <c r="T111" s="30">
        <v>0</v>
      </c>
      <c r="U111" s="42">
        <v>0</v>
      </c>
      <c r="V111" s="28"/>
      <c r="X111" s="30">
        <v>0</v>
      </c>
      <c r="Y111" s="42">
        <v>0</v>
      </c>
      <c r="Z111" s="28"/>
      <c r="AB111" s="30">
        <v>0</v>
      </c>
      <c r="AC111" s="42">
        <v>0</v>
      </c>
      <c r="AD111" s="28"/>
    </row>
    <row r="112" spans="2:33" x14ac:dyDescent="0.2">
      <c r="B112" s="72"/>
      <c r="C112" s="45"/>
      <c r="D112" s="45"/>
      <c r="E112" s="45"/>
      <c r="F112" s="45"/>
      <c r="G112" s="65"/>
      <c r="H112" s="93"/>
      <c r="I112" s="94"/>
      <c r="J112" s="95"/>
      <c r="L112" s="93"/>
      <c r="M112" s="94"/>
      <c r="N112" s="95"/>
      <c r="P112" s="93"/>
      <c r="Q112" s="94"/>
      <c r="R112" s="95"/>
      <c r="T112" s="30" t="e">
        <v>#DIV/0!</v>
      </c>
      <c r="U112" s="42" t="e">
        <v>#DIV/0!</v>
      </c>
      <c r="V112" s="28"/>
      <c r="X112" s="30" t="e">
        <v>#DIV/0!</v>
      </c>
      <c r="Y112" s="42" t="e">
        <v>#DIV/0!</v>
      </c>
      <c r="Z112" s="28"/>
      <c r="AB112" s="30" t="e">
        <v>#DIV/0!</v>
      </c>
      <c r="AC112" s="42" t="e">
        <v>#DIV/0!</v>
      </c>
      <c r="AD112" s="28"/>
    </row>
    <row r="113" spans="2:30" x14ac:dyDescent="0.2">
      <c r="B113" s="29"/>
      <c r="C113" s="26"/>
      <c r="D113" s="26" t="s">
        <v>43</v>
      </c>
      <c r="E113" s="26"/>
      <c r="F113" s="26"/>
      <c r="G113" s="28"/>
      <c r="H113" s="30">
        <v>17940.205041666664</v>
      </c>
      <c r="I113" s="42">
        <v>4.9999999999999996E-2</v>
      </c>
      <c r="J113" s="28"/>
      <c r="L113" s="30">
        <v>19805.413045977013</v>
      </c>
      <c r="M113" s="42">
        <v>0.05</v>
      </c>
      <c r="N113" s="28"/>
      <c r="P113" s="30">
        <v>20948.455415229884</v>
      </c>
      <c r="Q113" s="42">
        <v>4.9999999999999996E-2</v>
      </c>
      <c r="R113" s="28"/>
      <c r="T113" s="30">
        <v>12081.720428571429</v>
      </c>
      <c r="U113" s="42">
        <v>0.05</v>
      </c>
      <c r="V113" s="28"/>
      <c r="X113" s="30">
        <v>12081.720428571429</v>
      </c>
      <c r="Y113" s="42">
        <v>0.05</v>
      </c>
      <c r="Z113" s="28"/>
      <c r="AB113" s="30">
        <f>+AB16*0.05</f>
        <v>15086.206896551725</v>
      </c>
      <c r="AC113" s="42">
        <v>0.05</v>
      </c>
      <c r="AD113" s="28"/>
    </row>
    <row r="114" spans="2:30" x14ac:dyDescent="0.2">
      <c r="B114" s="29"/>
      <c r="C114" s="26"/>
      <c r="D114" s="26" t="s">
        <v>46</v>
      </c>
      <c r="E114" s="26"/>
      <c r="F114" s="26"/>
      <c r="G114" s="28"/>
      <c r="H114" s="30">
        <v>7176.0820166666672</v>
      </c>
      <c r="I114" s="42">
        <v>0.02</v>
      </c>
      <c r="J114" s="28"/>
      <c r="L114" s="30">
        <v>7922.1652183908045</v>
      </c>
      <c r="M114" s="42">
        <v>0.02</v>
      </c>
      <c r="N114" s="28"/>
      <c r="P114" s="30">
        <v>8379.382166091953</v>
      </c>
      <c r="Q114" s="42">
        <v>1.9999999999999997E-2</v>
      </c>
      <c r="R114" s="28"/>
      <c r="T114" s="30">
        <v>4832.6881714285719</v>
      </c>
      <c r="U114" s="42"/>
      <c r="V114" s="28"/>
      <c r="X114" s="30">
        <v>4832.6881714285719</v>
      </c>
      <c r="Y114" s="42"/>
      <c r="Z114" s="28"/>
      <c r="AB114" s="30">
        <f>+AB16*0.02</f>
        <v>6034.4827586206902</v>
      </c>
      <c r="AC114" s="42" t="s">
        <v>91</v>
      </c>
      <c r="AD114" s="28"/>
    </row>
    <row r="115" spans="2:30" ht="16" thickBot="1" x14ac:dyDescent="0.25">
      <c r="B115" s="73"/>
      <c r="C115" s="74"/>
      <c r="D115" s="74"/>
      <c r="E115" s="74"/>
      <c r="F115" s="74"/>
      <c r="G115" s="75"/>
      <c r="H115" s="93"/>
      <c r="I115" s="94"/>
      <c r="J115" s="95"/>
      <c r="L115" s="93"/>
      <c r="M115" s="94"/>
      <c r="N115" s="95"/>
      <c r="P115" s="93"/>
      <c r="Q115" s="94"/>
      <c r="R115" s="95"/>
      <c r="T115" s="93"/>
      <c r="U115" s="94"/>
      <c r="V115" s="95"/>
      <c r="X115" s="93"/>
      <c r="Y115" s="94"/>
      <c r="Z115" s="95"/>
      <c r="AB115" s="93"/>
      <c r="AC115" s="94"/>
      <c r="AD115" s="95"/>
    </row>
    <row r="116" spans="2:30" ht="16" thickBot="1" x14ac:dyDescent="0.25">
      <c r="B116" s="58" t="s">
        <v>45</v>
      </c>
      <c r="C116" s="59"/>
      <c r="D116" s="59"/>
      <c r="E116" s="60"/>
      <c r="F116" s="60"/>
      <c r="G116" s="61"/>
      <c r="H116" s="62">
        <v>54389.966601666652</v>
      </c>
      <c r="I116" s="63">
        <f>H116/H16</f>
        <v>0.15158680314785788</v>
      </c>
      <c r="J116" s="61"/>
      <c r="L116" s="62">
        <v>82670.567198505756</v>
      </c>
      <c r="M116" s="63">
        <f>L116/L16</f>
        <v>0.20870700097642819</v>
      </c>
      <c r="N116" s="61"/>
      <c r="P116" s="62">
        <v>119079.11027327587</v>
      </c>
      <c r="Q116" s="63">
        <f>P116/P16</f>
        <v>0.28421930856702521</v>
      </c>
      <c r="R116" s="61"/>
      <c r="T116" s="62">
        <v>32801.903457142856</v>
      </c>
      <c r="U116" s="63">
        <f>T116/T16</f>
        <v>0.13575013447410747</v>
      </c>
      <c r="V116" s="61"/>
      <c r="X116" s="62">
        <f>AVERAGE(H116,L116,P116,T116)</f>
        <v>72235.386882647785</v>
      </c>
      <c r="Y116" s="63">
        <f>X116/X16</f>
        <v>0.20412455408869476</v>
      </c>
      <c r="Z116" s="61"/>
      <c r="AB116" s="62">
        <f>AB108+AB110+AB111-AB113-AB114</f>
        <v>40493.660675440326</v>
      </c>
      <c r="AC116" s="63">
        <f>AB116/AB$16</f>
        <v>0.13420756109574508</v>
      </c>
      <c r="AD116" s="61"/>
    </row>
  </sheetData>
  <mergeCells count="6">
    <mergeCell ref="AB3:AD3"/>
    <mergeCell ref="H3:J3"/>
    <mergeCell ref="L3:N3"/>
    <mergeCell ref="P3:R3"/>
    <mergeCell ref="T3:V3"/>
    <mergeCell ref="X3:Z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Promedio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Cristina Gonzalez</cp:lastModifiedBy>
  <cp:lastPrinted>2021-06-23T03:21:36Z</cp:lastPrinted>
  <dcterms:created xsi:type="dcterms:W3CDTF">2018-01-24T11:54:56Z</dcterms:created>
  <dcterms:modified xsi:type="dcterms:W3CDTF">2026-01-17T13:00:27Z</dcterms:modified>
</cp:coreProperties>
</file>